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kir\Downloads\"/>
    </mc:Choice>
  </mc:AlternateContent>
  <bookViews>
    <workbookView xWindow="0" yWindow="0" windowWidth="23040" windowHeight="9048" xr2:uid="{00000000-000D-0000-FFFF-FFFF00000000}"/>
  </bookViews>
  <sheets>
    <sheet name="DETAILED-SP" sheetId="1" r:id="rId1"/>
    <sheet name="IMP-FIELDS-CODES" sheetId="5" r:id="rId2"/>
    <sheet name="INVOICEAND EXPECTED COSTS" sheetId="6" r:id="rId3"/>
    <sheet name="SUMMARIED-TOTAL" sheetId="2" r:id="rId4"/>
    <sheet name="SP-COMM" sheetId="3" r:id="rId5"/>
    <sheet name="SP-COMM-SUMMARY" sheetId="4" r:id="rId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7" i="6" l="1"/>
  <c r="H57" i="6" s="1"/>
  <c r="G9" i="6"/>
  <c r="H9" i="6" s="1"/>
  <c r="H8" i="6"/>
  <c r="H7" i="6"/>
  <c r="G8" i="6"/>
  <c r="C8" i="6"/>
  <c r="C9" i="6" s="1"/>
  <c r="D7" i="6"/>
  <c r="G65" i="5"/>
  <c r="H65" i="5" s="1"/>
  <c r="G66" i="5"/>
  <c r="G67" i="5" s="1"/>
  <c r="G59" i="5"/>
  <c r="H59" i="5" s="1"/>
  <c r="G58" i="5"/>
  <c r="H58" i="5" s="1"/>
  <c r="G46" i="5"/>
  <c r="H46" i="5" s="1"/>
  <c r="G39" i="5"/>
  <c r="G40" i="5" s="1"/>
  <c r="H39" i="5"/>
  <c r="G35" i="5"/>
  <c r="H35" i="5" s="1"/>
  <c r="H27" i="5"/>
  <c r="H28" i="5"/>
  <c r="H29" i="5"/>
  <c r="H30" i="5"/>
  <c r="H31" i="5"/>
  <c r="H32" i="5"/>
  <c r="H33" i="5"/>
  <c r="H34" i="5"/>
  <c r="G28" i="5"/>
  <c r="G29" i="5" s="1"/>
  <c r="G30" i="5" s="1"/>
  <c r="G31" i="5" s="1"/>
  <c r="G32" i="5" s="1"/>
  <c r="G33" i="5" s="1"/>
  <c r="G34" i="5" s="1"/>
  <c r="G27" i="5"/>
  <c r="H26" i="5"/>
  <c r="G10" i="6" l="1"/>
  <c r="D9" i="6"/>
  <c r="C10" i="6"/>
  <c r="D8" i="6"/>
  <c r="G68" i="5"/>
  <c r="H67" i="5"/>
  <c r="H66" i="5"/>
  <c r="G60" i="5"/>
  <c r="G47" i="5"/>
  <c r="H40" i="5"/>
  <c r="G41" i="5"/>
  <c r="G36" i="5"/>
  <c r="K8" i="4"/>
  <c r="K9" i="4" s="1"/>
  <c r="K10" i="4" s="1"/>
  <c r="K11" i="4" s="1"/>
  <c r="K12" i="4" s="1"/>
  <c r="K13" i="4" s="1"/>
  <c r="K7" i="4"/>
  <c r="J14" i="4"/>
  <c r="J15" i="4"/>
  <c r="J16" i="4"/>
  <c r="J5" i="4"/>
  <c r="I7" i="4"/>
  <c r="I8" i="4"/>
  <c r="I9" i="4"/>
  <c r="I10" i="4"/>
  <c r="I11" i="4"/>
  <c r="I12" i="4"/>
  <c r="I13" i="4"/>
  <c r="I15" i="4"/>
  <c r="I16" i="4"/>
  <c r="I17" i="4"/>
  <c r="I18" i="4"/>
  <c r="I19" i="4"/>
  <c r="I6" i="4"/>
  <c r="G20" i="4"/>
  <c r="H20" i="4"/>
  <c r="C20" i="4"/>
  <c r="D7" i="4"/>
  <c r="D8" i="4" s="1"/>
  <c r="D9" i="4" s="1"/>
  <c r="C20" i="3"/>
  <c r="G66" i="1"/>
  <c r="G11" i="2" s="1"/>
  <c r="F66" i="1"/>
  <c r="E66" i="1"/>
  <c r="D66" i="1"/>
  <c r="C66" i="1"/>
  <c r="G45" i="1"/>
  <c r="F45" i="1"/>
  <c r="E45" i="1"/>
  <c r="D45" i="1"/>
  <c r="D10" i="2" s="1"/>
  <c r="C45" i="1"/>
  <c r="E10" i="2"/>
  <c r="H10" i="2" s="1"/>
  <c r="F10" i="2"/>
  <c r="G10" i="2"/>
  <c r="E11" i="2"/>
  <c r="F11" i="2"/>
  <c r="D11" i="2"/>
  <c r="C23" i="2"/>
  <c r="L22" i="2"/>
  <c r="K22" i="2"/>
  <c r="I22" i="2"/>
  <c r="J22" i="2" s="1"/>
  <c r="H22" i="2"/>
  <c r="O22" i="2" s="1"/>
  <c r="L21" i="2"/>
  <c r="K21" i="2"/>
  <c r="I21" i="2"/>
  <c r="H21" i="2"/>
  <c r="O21" i="2" s="1"/>
  <c r="L20" i="2"/>
  <c r="K20" i="2"/>
  <c r="I20" i="2"/>
  <c r="J20" i="2" s="1"/>
  <c r="H20" i="2"/>
  <c r="O20" i="2" s="1"/>
  <c r="L19" i="2"/>
  <c r="K19" i="2"/>
  <c r="I19" i="2"/>
  <c r="J19" i="2" s="1"/>
  <c r="H19" i="2"/>
  <c r="O19" i="2" s="1"/>
  <c r="L18" i="2"/>
  <c r="K18" i="2"/>
  <c r="I18" i="2"/>
  <c r="J18" i="2" s="1"/>
  <c r="M18" i="2" s="1"/>
  <c r="H18" i="2"/>
  <c r="O18" i="2" s="1"/>
  <c r="L17" i="2"/>
  <c r="K17" i="2"/>
  <c r="I17" i="2"/>
  <c r="H17" i="2"/>
  <c r="O17" i="2" s="1"/>
  <c r="L16" i="2"/>
  <c r="K16" i="2"/>
  <c r="I16" i="2"/>
  <c r="J16" i="2" s="1"/>
  <c r="H16" i="2"/>
  <c r="O16" i="2" s="1"/>
  <c r="L15" i="2"/>
  <c r="K15" i="2"/>
  <c r="J15" i="2"/>
  <c r="I15" i="2"/>
  <c r="H15" i="2"/>
  <c r="O15" i="2" s="1"/>
  <c r="L14" i="2"/>
  <c r="K14" i="2"/>
  <c r="I14" i="2"/>
  <c r="J14" i="2" s="1"/>
  <c r="H14" i="2"/>
  <c r="O14" i="2" s="1"/>
  <c r="L13" i="2"/>
  <c r="K13" i="2"/>
  <c r="I13" i="2"/>
  <c r="J13" i="2" s="1"/>
  <c r="H13" i="2"/>
  <c r="O13" i="2" s="1"/>
  <c r="L12" i="2"/>
  <c r="K12" i="2"/>
  <c r="I12" i="2"/>
  <c r="J12" i="2" s="1"/>
  <c r="H12" i="2"/>
  <c r="O12" i="2" s="1"/>
  <c r="C22" i="1"/>
  <c r="L65" i="1"/>
  <c r="K65" i="1"/>
  <c r="I65" i="1"/>
  <c r="J65" i="1" s="1"/>
  <c r="H65" i="1"/>
  <c r="O65" i="1" s="1"/>
  <c r="L64" i="1"/>
  <c r="K64" i="1"/>
  <c r="J64" i="1"/>
  <c r="I64" i="1"/>
  <c r="H64" i="1"/>
  <c r="O64" i="1" s="1"/>
  <c r="L63" i="1"/>
  <c r="K63" i="1"/>
  <c r="J63" i="1"/>
  <c r="I63" i="1"/>
  <c r="H63" i="1"/>
  <c r="O63" i="1" s="1"/>
  <c r="L62" i="1"/>
  <c r="K62" i="1"/>
  <c r="I62" i="1"/>
  <c r="H62" i="1"/>
  <c r="O62" i="1" s="1"/>
  <c r="L61" i="1"/>
  <c r="K61" i="1"/>
  <c r="I61" i="1"/>
  <c r="J61" i="1" s="1"/>
  <c r="H61" i="1"/>
  <c r="O61" i="1" s="1"/>
  <c r="L60" i="1"/>
  <c r="K60" i="1"/>
  <c r="J60" i="1"/>
  <c r="I60" i="1"/>
  <c r="H60" i="1"/>
  <c r="O60" i="1" s="1"/>
  <c r="L59" i="1"/>
  <c r="K59" i="1"/>
  <c r="J59" i="1"/>
  <c r="I59" i="1"/>
  <c r="H59" i="1"/>
  <c r="O59" i="1" s="1"/>
  <c r="L58" i="1"/>
  <c r="K58" i="1"/>
  <c r="I58" i="1"/>
  <c r="H58" i="1"/>
  <c r="O58" i="1" s="1"/>
  <c r="L57" i="1"/>
  <c r="K57" i="1"/>
  <c r="I57" i="1"/>
  <c r="J57" i="1" s="1"/>
  <c r="H57" i="1"/>
  <c r="O57" i="1" s="1"/>
  <c r="L56" i="1"/>
  <c r="K56" i="1"/>
  <c r="J56" i="1"/>
  <c r="I56" i="1"/>
  <c r="H56" i="1"/>
  <c r="O56" i="1" s="1"/>
  <c r="L55" i="1"/>
  <c r="K55" i="1"/>
  <c r="J55" i="1"/>
  <c r="I55" i="1"/>
  <c r="H55" i="1"/>
  <c r="O55" i="1" s="1"/>
  <c r="L54" i="1"/>
  <c r="K54" i="1"/>
  <c r="I54" i="1"/>
  <c r="H54" i="1"/>
  <c r="O54" i="1" s="1"/>
  <c r="L53" i="1"/>
  <c r="K53" i="1"/>
  <c r="I53" i="1"/>
  <c r="H53" i="1"/>
  <c r="O53" i="1" s="1"/>
  <c r="L52" i="1"/>
  <c r="L66" i="1" s="1"/>
  <c r="L11" i="2" s="1"/>
  <c r="K52" i="1"/>
  <c r="K66" i="1" s="1"/>
  <c r="K11" i="2" s="1"/>
  <c r="J52" i="1"/>
  <c r="I52" i="1"/>
  <c r="H52" i="1"/>
  <c r="O52" i="1" s="1"/>
  <c r="L44" i="1"/>
  <c r="K44" i="1"/>
  <c r="I44" i="1"/>
  <c r="H44" i="1"/>
  <c r="O44" i="1" s="1"/>
  <c r="L43" i="1"/>
  <c r="K43" i="1"/>
  <c r="I43" i="1"/>
  <c r="J43" i="1" s="1"/>
  <c r="H43" i="1"/>
  <c r="O43" i="1" s="1"/>
  <c r="L42" i="1"/>
  <c r="K42" i="1"/>
  <c r="I42" i="1"/>
  <c r="H42" i="1"/>
  <c r="O42" i="1" s="1"/>
  <c r="L41" i="1"/>
  <c r="K41" i="1"/>
  <c r="I41" i="1"/>
  <c r="J41" i="1" s="1"/>
  <c r="H41" i="1"/>
  <c r="L40" i="1"/>
  <c r="K40" i="1"/>
  <c r="J40" i="1"/>
  <c r="I40" i="1"/>
  <c r="H40" i="1"/>
  <c r="O40" i="1" s="1"/>
  <c r="L39" i="1"/>
  <c r="K39" i="1"/>
  <c r="I39" i="1"/>
  <c r="J39" i="1" s="1"/>
  <c r="H39" i="1"/>
  <c r="O39" i="1" s="1"/>
  <c r="L38" i="1"/>
  <c r="K38" i="1"/>
  <c r="J38" i="1"/>
  <c r="I38" i="1"/>
  <c r="H38" i="1"/>
  <c r="O38" i="1" s="1"/>
  <c r="L37" i="1"/>
  <c r="K37" i="1"/>
  <c r="I37" i="1"/>
  <c r="J37" i="1" s="1"/>
  <c r="H37" i="1"/>
  <c r="L36" i="1"/>
  <c r="K36" i="1"/>
  <c r="I36" i="1"/>
  <c r="H36" i="1"/>
  <c r="O36" i="1" s="1"/>
  <c r="L35" i="1"/>
  <c r="K35" i="1"/>
  <c r="I35" i="1"/>
  <c r="J35" i="1" s="1"/>
  <c r="H35" i="1"/>
  <c r="O35" i="1" s="1"/>
  <c r="L34" i="1"/>
  <c r="K34" i="1"/>
  <c r="I34" i="1"/>
  <c r="H34" i="1"/>
  <c r="O34" i="1" s="1"/>
  <c r="L33" i="1"/>
  <c r="K33" i="1"/>
  <c r="I33" i="1"/>
  <c r="J33" i="1" s="1"/>
  <c r="H33" i="1"/>
  <c r="L32" i="1"/>
  <c r="K32" i="1"/>
  <c r="J32" i="1"/>
  <c r="I32" i="1"/>
  <c r="H32" i="1"/>
  <c r="O32" i="1" s="1"/>
  <c r="L31" i="1"/>
  <c r="L45" i="1" s="1"/>
  <c r="L10" i="2" s="1"/>
  <c r="K31" i="1"/>
  <c r="K45" i="1" s="1"/>
  <c r="K10" i="2" s="1"/>
  <c r="I31" i="1"/>
  <c r="I45" i="1" s="1"/>
  <c r="I10" i="2" s="1"/>
  <c r="H31" i="1"/>
  <c r="H45" i="1" s="1"/>
  <c r="O45" i="1" s="1"/>
  <c r="O8" i="1"/>
  <c r="I9" i="1"/>
  <c r="J9" i="1" s="1"/>
  <c r="K9" i="1"/>
  <c r="L9" i="1"/>
  <c r="I10" i="1"/>
  <c r="J10" i="1" s="1"/>
  <c r="M10" i="1" s="1"/>
  <c r="K10" i="1"/>
  <c r="L10" i="1"/>
  <c r="I11" i="1"/>
  <c r="J11" i="1" s="1"/>
  <c r="M11" i="1" s="1"/>
  <c r="P11" i="1" s="1"/>
  <c r="K11" i="1"/>
  <c r="L11" i="1"/>
  <c r="I12" i="1"/>
  <c r="J12" i="1"/>
  <c r="M12" i="1" s="1"/>
  <c r="N12" i="1" s="1"/>
  <c r="Q12" i="1" s="1"/>
  <c r="R12" i="1" s="1"/>
  <c r="K12" i="1"/>
  <c r="L12" i="1"/>
  <c r="I13" i="1"/>
  <c r="J13" i="1" s="1"/>
  <c r="K13" i="1"/>
  <c r="L13" i="1"/>
  <c r="I14" i="1"/>
  <c r="J14" i="1" s="1"/>
  <c r="M14" i="1" s="1"/>
  <c r="K14" i="1"/>
  <c r="L14" i="1"/>
  <c r="I15" i="1"/>
  <c r="J15" i="1" s="1"/>
  <c r="K15" i="1"/>
  <c r="L15" i="1"/>
  <c r="I16" i="1"/>
  <c r="J16" i="1"/>
  <c r="K16" i="1"/>
  <c r="L16" i="1"/>
  <c r="I17" i="1"/>
  <c r="J17" i="1" s="1"/>
  <c r="K17" i="1"/>
  <c r="L17" i="1"/>
  <c r="I18" i="1"/>
  <c r="J18" i="1" s="1"/>
  <c r="M18" i="1" s="1"/>
  <c r="K18" i="1"/>
  <c r="L18" i="1"/>
  <c r="I19" i="1"/>
  <c r="J19" i="1" s="1"/>
  <c r="M19" i="1" s="1"/>
  <c r="P19" i="1" s="1"/>
  <c r="K19" i="1"/>
  <c r="L19" i="1"/>
  <c r="I20" i="1"/>
  <c r="J20" i="1"/>
  <c r="M20" i="1" s="1"/>
  <c r="N20" i="1" s="1"/>
  <c r="Q20" i="1" s="1"/>
  <c r="R20" i="1" s="1"/>
  <c r="K20" i="1"/>
  <c r="L20" i="1"/>
  <c r="I21" i="1"/>
  <c r="J21" i="1" s="1"/>
  <c r="K21" i="1"/>
  <c r="L21" i="1"/>
  <c r="L8" i="1"/>
  <c r="L22" i="1" s="1"/>
  <c r="L9" i="2" s="1"/>
  <c r="K8" i="1"/>
  <c r="J8" i="1"/>
  <c r="I8" i="1"/>
  <c r="H9" i="1"/>
  <c r="O9" i="1" s="1"/>
  <c r="H10" i="1"/>
  <c r="O10" i="1" s="1"/>
  <c r="H11" i="1"/>
  <c r="O11" i="1" s="1"/>
  <c r="H12" i="1"/>
  <c r="O12" i="1" s="1"/>
  <c r="H13" i="1"/>
  <c r="O13" i="1" s="1"/>
  <c r="H14" i="1"/>
  <c r="O14" i="1" s="1"/>
  <c r="H15" i="1"/>
  <c r="O15" i="1" s="1"/>
  <c r="H16" i="1"/>
  <c r="O16" i="1" s="1"/>
  <c r="H17" i="1"/>
  <c r="O17" i="1" s="1"/>
  <c r="H18" i="1"/>
  <c r="O18" i="1" s="1"/>
  <c r="H19" i="1"/>
  <c r="O19" i="1" s="1"/>
  <c r="H20" i="1"/>
  <c r="O20" i="1" s="1"/>
  <c r="H21" i="1"/>
  <c r="O21" i="1" s="1"/>
  <c r="H8" i="1"/>
  <c r="E22" i="1"/>
  <c r="E9" i="2" s="1"/>
  <c r="H9" i="2" s="1"/>
  <c r="F22" i="1"/>
  <c r="F9" i="2" s="1"/>
  <c r="F23" i="2" s="1"/>
  <c r="G22" i="1"/>
  <c r="G9" i="2" s="1"/>
  <c r="D22" i="1"/>
  <c r="D9" i="2" s="1"/>
  <c r="G11" i="6" l="1"/>
  <c r="H10" i="6"/>
  <c r="D10" i="6"/>
  <c r="C11" i="6"/>
  <c r="G69" i="5"/>
  <c r="H68" i="5"/>
  <c r="G61" i="5"/>
  <c r="H60" i="5"/>
  <c r="H47" i="5"/>
  <c r="G48" i="5"/>
  <c r="G42" i="5"/>
  <c r="H41" i="5"/>
  <c r="H36" i="5"/>
  <c r="G37" i="5"/>
  <c r="N18" i="1"/>
  <c r="Q18" i="1" s="1"/>
  <c r="R18" i="1" s="1"/>
  <c r="P18" i="1"/>
  <c r="N14" i="1"/>
  <c r="Q14" i="1" s="1"/>
  <c r="R14" i="1" s="1"/>
  <c r="P14" i="1"/>
  <c r="N10" i="1"/>
  <c r="Q10" i="1" s="1"/>
  <c r="R10" i="1" s="1"/>
  <c r="P10" i="1"/>
  <c r="M16" i="1"/>
  <c r="I20" i="4"/>
  <c r="M15" i="1"/>
  <c r="M17" i="1"/>
  <c r="M9" i="1"/>
  <c r="O31" i="1"/>
  <c r="J34" i="1"/>
  <c r="M34" i="1" s="1"/>
  <c r="M40" i="1"/>
  <c r="P40" i="1" s="1"/>
  <c r="M55" i="1"/>
  <c r="M59" i="1"/>
  <c r="J62" i="1"/>
  <c r="M62" i="1" s="1"/>
  <c r="M63" i="1"/>
  <c r="E23" i="2"/>
  <c r="H11" i="2"/>
  <c r="O11" i="2" s="1"/>
  <c r="N19" i="1"/>
  <c r="Q19" i="1" s="1"/>
  <c r="R19" i="1" s="1"/>
  <c r="H66" i="1"/>
  <c r="O66" i="1" s="1"/>
  <c r="N11" i="1"/>
  <c r="Q11" i="1" s="1"/>
  <c r="R11" i="1" s="1"/>
  <c r="P20" i="1"/>
  <c r="P12" i="1"/>
  <c r="M36" i="1"/>
  <c r="P36" i="1" s="1"/>
  <c r="I22" i="1"/>
  <c r="I9" i="2" s="1"/>
  <c r="M8" i="1"/>
  <c r="M21" i="1"/>
  <c r="M13" i="1"/>
  <c r="M32" i="1"/>
  <c r="P32" i="1" s="1"/>
  <c r="J36" i="1"/>
  <c r="M38" i="1"/>
  <c r="P38" i="1" s="1"/>
  <c r="J42" i="1"/>
  <c r="M42" i="1" s="1"/>
  <c r="M52" i="1"/>
  <c r="M56" i="1"/>
  <c r="P56" i="1" s="1"/>
  <c r="M60" i="1"/>
  <c r="P60" i="1" s="1"/>
  <c r="M64" i="1"/>
  <c r="P64" i="1" s="1"/>
  <c r="M13" i="2"/>
  <c r="P13" i="2" s="1"/>
  <c r="I66" i="1"/>
  <c r="I11" i="2" s="1"/>
  <c r="K20" i="4"/>
  <c r="E9" i="4"/>
  <c r="D10" i="4"/>
  <c r="E7" i="4"/>
  <c r="E8" i="4"/>
  <c r="E6" i="4"/>
  <c r="M14" i="2"/>
  <c r="P14" i="2" s="1"/>
  <c r="M19" i="2"/>
  <c r="N19" i="2" s="1"/>
  <c r="Q19" i="2" s="1"/>
  <c r="R19" i="2" s="1"/>
  <c r="M15" i="2"/>
  <c r="P15" i="2" s="1"/>
  <c r="G23" i="2"/>
  <c r="L23" i="2"/>
  <c r="O10" i="2"/>
  <c r="H23" i="2"/>
  <c r="O23" i="2" s="1"/>
  <c r="I23" i="2"/>
  <c r="D23" i="2"/>
  <c r="P18" i="2"/>
  <c r="N18" i="2"/>
  <c r="Q18" i="2" s="1"/>
  <c r="R18" i="2" s="1"/>
  <c r="N15" i="2"/>
  <c r="Q15" i="2" s="1"/>
  <c r="R15" i="2" s="1"/>
  <c r="P19" i="2"/>
  <c r="N14" i="2"/>
  <c r="Q14" i="2" s="1"/>
  <c r="R14" i="2" s="1"/>
  <c r="M22" i="2"/>
  <c r="M12" i="2"/>
  <c r="P12" i="2" s="1"/>
  <c r="N13" i="2"/>
  <c r="Q13" i="2" s="1"/>
  <c r="R13" i="2" s="1"/>
  <c r="M16" i="2"/>
  <c r="P16" i="2" s="1"/>
  <c r="J17" i="2"/>
  <c r="M17" i="2" s="1"/>
  <c r="P17" i="2" s="1"/>
  <c r="M20" i="2"/>
  <c r="P20" i="2" s="1"/>
  <c r="J21" i="2"/>
  <c r="M21" i="2" s="1"/>
  <c r="P52" i="1"/>
  <c r="N55" i="1"/>
  <c r="Q55" i="1" s="1"/>
  <c r="R55" i="1" s="1"/>
  <c r="P55" i="1"/>
  <c r="N59" i="1"/>
  <c r="Q59" i="1" s="1"/>
  <c r="R59" i="1" s="1"/>
  <c r="P59" i="1"/>
  <c r="N63" i="1"/>
  <c r="Q63" i="1" s="1"/>
  <c r="R63" i="1" s="1"/>
  <c r="P63" i="1"/>
  <c r="N56" i="1"/>
  <c r="Q56" i="1" s="1"/>
  <c r="R56" i="1" s="1"/>
  <c r="M57" i="1"/>
  <c r="P57" i="1" s="1"/>
  <c r="M61" i="1"/>
  <c r="P61" i="1" s="1"/>
  <c r="M65" i="1"/>
  <c r="P65" i="1" s="1"/>
  <c r="J53" i="1"/>
  <c r="M53" i="1" s="1"/>
  <c r="P53" i="1" s="1"/>
  <c r="N65" i="1"/>
  <c r="Q65" i="1" s="1"/>
  <c r="R65" i="1" s="1"/>
  <c r="J54" i="1"/>
  <c r="M54" i="1" s="1"/>
  <c r="J58" i="1"/>
  <c r="M58" i="1" s="1"/>
  <c r="N52" i="1"/>
  <c r="N60" i="1"/>
  <c r="Q60" i="1" s="1"/>
  <c r="R60" i="1" s="1"/>
  <c r="N64" i="1"/>
  <c r="Q64" i="1" s="1"/>
  <c r="R64" i="1" s="1"/>
  <c r="N32" i="1"/>
  <c r="Q32" i="1" s="1"/>
  <c r="R32" i="1" s="1"/>
  <c r="O33" i="1"/>
  <c r="M35" i="1"/>
  <c r="P35" i="1" s="1"/>
  <c r="N36" i="1"/>
  <c r="Q36" i="1" s="1"/>
  <c r="R36" i="1" s="1"/>
  <c r="O37" i="1"/>
  <c r="M39" i="1"/>
  <c r="P39" i="1" s="1"/>
  <c r="N40" i="1"/>
  <c r="Q40" i="1" s="1"/>
  <c r="R40" i="1" s="1"/>
  <c r="O41" i="1"/>
  <c r="M43" i="1"/>
  <c r="P43" i="1" s="1"/>
  <c r="J44" i="1"/>
  <c r="M44" i="1" s="1"/>
  <c r="J31" i="1"/>
  <c r="J45" i="1" s="1"/>
  <c r="J10" i="2" s="1"/>
  <c r="M10" i="2" s="1"/>
  <c r="P10" i="2" s="1"/>
  <c r="M33" i="1"/>
  <c r="P33" i="1" s="1"/>
  <c r="M37" i="1"/>
  <c r="P37" i="1" s="1"/>
  <c r="N38" i="1"/>
  <c r="Q38" i="1" s="1"/>
  <c r="R38" i="1" s="1"/>
  <c r="M41" i="1"/>
  <c r="P41" i="1" s="1"/>
  <c r="J22" i="1"/>
  <c r="J9" i="2" s="1"/>
  <c r="M22" i="1"/>
  <c r="P22" i="1" s="1"/>
  <c r="P9" i="2" s="1"/>
  <c r="K22" i="1"/>
  <c r="K9" i="2" s="1"/>
  <c r="K23" i="2" s="1"/>
  <c r="H22" i="1"/>
  <c r="O22" i="1" s="1"/>
  <c r="O9" i="2" s="1"/>
  <c r="H11" i="6" l="1"/>
  <c r="G12" i="6"/>
  <c r="D11" i="6"/>
  <c r="C12" i="6"/>
  <c r="G70" i="5"/>
  <c r="H69" i="5"/>
  <c r="H61" i="5"/>
  <c r="G62" i="5"/>
  <c r="H48" i="5"/>
  <c r="G49" i="5"/>
  <c r="H42" i="5"/>
  <c r="G43" i="5"/>
  <c r="H37" i="5"/>
  <c r="G38" i="5"/>
  <c r="H38" i="5" s="1"/>
  <c r="P42" i="1"/>
  <c r="N42" i="1"/>
  <c r="Q42" i="1" s="1"/>
  <c r="R42" i="1" s="1"/>
  <c r="P62" i="1"/>
  <c r="N62" i="1"/>
  <c r="Q62" i="1" s="1"/>
  <c r="R62" i="1" s="1"/>
  <c r="P34" i="1"/>
  <c r="N34" i="1"/>
  <c r="Q34" i="1" s="1"/>
  <c r="R34" i="1" s="1"/>
  <c r="M66" i="1"/>
  <c r="P66" i="1" s="1"/>
  <c r="N16" i="1"/>
  <c r="Q16" i="1" s="1"/>
  <c r="R16" i="1" s="1"/>
  <c r="P16" i="1"/>
  <c r="N43" i="1"/>
  <c r="Q43" i="1" s="1"/>
  <c r="R43" i="1" s="1"/>
  <c r="N41" i="1"/>
  <c r="Q41" i="1" s="1"/>
  <c r="R41" i="1" s="1"/>
  <c r="N61" i="1"/>
  <c r="Q61" i="1" s="1"/>
  <c r="R61" i="1" s="1"/>
  <c r="F6" i="4"/>
  <c r="J6" i="4"/>
  <c r="F9" i="4"/>
  <c r="J9" i="4"/>
  <c r="L9" i="4" s="1"/>
  <c r="N13" i="1"/>
  <c r="Q13" i="1" s="1"/>
  <c r="R13" i="1" s="1"/>
  <c r="P13" i="1"/>
  <c r="N15" i="1"/>
  <c r="Q15" i="1" s="1"/>
  <c r="R15" i="1" s="1"/>
  <c r="P15" i="1"/>
  <c r="J66" i="1"/>
  <c r="J11" i="2" s="1"/>
  <c r="M11" i="2" s="1"/>
  <c r="F8" i="4"/>
  <c r="J8" i="4"/>
  <c r="L8" i="4" s="1"/>
  <c r="N21" i="1"/>
  <c r="Q21" i="1" s="1"/>
  <c r="R21" i="1" s="1"/>
  <c r="P21" i="1"/>
  <c r="N9" i="1"/>
  <c r="Q9" i="1" s="1"/>
  <c r="R9" i="1" s="1"/>
  <c r="P9" i="1"/>
  <c r="F7" i="4"/>
  <c r="J7" i="4"/>
  <c r="L7" i="4" s="1"/>
  <c r="P8" i="1"/>
  <c r="N8" i="1"/>
  <c r="N17" i="1"/>
  <c r="Q17" i="1" s="1"/>
  <c r="R17" i="1" s="1"/>
  <c r="P17" i="1"/>
  <c r="E10" i="4"/>
  <c r="D11" i="4"/>
  <c r="N12" i="2"/>
  <c r="Q12" i="2" s="1"/>
  <c r="R12" i="2" s="1"/>
  <c r="N11" i="2"/>
  <c r="Q11" i="2" s="1"/>
  <c r="R11" i="2" s="1"/>
  <c r="P11" i="2"/>
  <c r="P21" i="2"/>
  <c r="N21" i="2"/>
  <c r="Q21" i="2" s="1"/>
  <c r="R21" i="2" s="1"/>
  <c r="N10" i="2"/>
  <c r="Q10" i="2" s="1"/>
  <c r="R10" i="2" s="1"/>
  <c r="J23" i="2"/>
  <c r="N17" i="2"/>
  <c r="Q17" i="2" s="1"/>
  <c r="R17" i="2" s="1"/>
  <c r="N20" i="2"/>
  <c r="Q20" i="2" s="1"/>
  <c r="R20" i="2" s="1"/>
  <c r="P22" i="2"/>
  <c r="N22" i="2"/>
  <c r="Q22" i="2" s="1"/>
  <c r="R22" i="2" s="1"/>
  <c r="M9" i="2"/>
  <c r="N16" i="2"/>
  <c r="Q16" i="2" s="1"/>
  <c r="R16" i="2" s="1"/>
  <c r="P58" i="1"/>
  <c r="N58" i="1"/>
  <c r="Q58" i="1" s="1"/>
  <c r="R58" i="1" s="1"/>
  <c r="P54" i="1"/>
  <c r="N54" i="1"/>
  <c r="Q54" i="1" s="1"/>
  <c r="R54" i="1" s="1"/>
  <c r="N57" i="1"/>
  <c r="Q57" i="1" s="1"/>
  <c r="R57" i="1" s="1"/>
  <c r="N53" i="1"/>
  <c r="Q53" i="1" s="1"/>
  <c r="R53" i="1" s="1"/>
  <c r="Q52" i="1"/>
  <c r="P44" i="1"/>
  <c r="N44" i="1"/>
  <c r="Q44" i="1" s="1"/>
  <c r="R44" i="1" s="1"/>
  <c r="N39" i="1"/>
  <c r="Q39" i="1" s="1"/>
  <c r="R39" i="1" s="1"/>
  <c r="M31" i="1"/>
  <c r="M45" i="1" s="1"/>
  <c r="P45" i="1" s="1"/>
  <c r="N33" i="1"/>
  <c r="Q33" i="1" s="1"/>
  <c r="R33" i="1" s="1"/>
  <c r="N35" i="1"/>
  <c r="Q35" i="1" s="1"/>
  <c r="R35" i="1" s="1"/>
  <c r="N37" i="1"/>
  <c r="Q37" i="1" s="1"/>
  <c r="R37" i="1" s="1"/>
  <c r="G13" i="6" l="1"/>
  <c r="H12" i="6"/>
  <c r="C13" i="6"/>
  <c r="D12" i="6"/>
  <c r="G71" i="5"/>
  <c r="H70" i="5"/>
  <c r="G63" i="5"/>
  <c r="H62" i="5"/>
  <c r="H49" i="5"/>
  <c r="G50" i="5"/>
  <c r="G44" i="5"/>
  <c r="H43" i="5"/>
  <c r="F10" i="4"/>
  <c r="J10" i="4"/>
  <c r="L10" i="4" s="1"/>
  <c r="L6" i="4"/>
  <c r="N66" i="1"/>
  <c r="Q66" i="1" s="1"/>
  <c r="R66" i="1" s="1"/>
  <c r="Q8" i="1"/>
  <c r="R8" i="1" s="1"/>
  <c r="N22" i="1"/>
  <c r="Q22" i="1" s="1"/>
  <c r="E11" i="4"/>
  <c r="D12" i="4"/>
  <c r="M23" i="2"/>
  <c r="P23" i="2" s="1"/>
  <c r="N9" i="2"/>
  <c r="D6" i="3" s="1"/>
  <c r="R52" i="1"/>
  <c r="P31" i="1"/>
  <c r="N31" i="1"/>
  <c r="N45" i="1" s="1"/>
  <c r="Q45" i="1" s="1"/>
  <c r="R45" i="1" s="1"/>
  <c r="H13" i="6" l="1"/>
  <c r="G14" i="6"/>
  <c r="D13" i="6"/>
  <c r="C14" i="6"/>
  <c r="G72" i="5"/>
  <c r="H72" i="5" s="1"/>
  <c r="H71" i="5"/>
  <c r="H63" i="5"/>
  <c r="G64" i="5"/>
  <c r="H64" i="5" s="1"/>
  <c r="H50" i="5"/>
  <c r="G51" i="5"/>
  <c r="H44" i="5"/>
  <c r="G45" i="5"/>
  <c r="H45" i="5" s="1"/>
  <c r="D7" i="3"/>
  <c r="E6" i="3"/>
  <c r="F6" i="3" s="1"/>
  <c r="H6" i="3" s="1"/>
  <c r="R22" i="1"/>
  <c r="Q9" i="2"/>
  <c r="R9" i="2" s="1"/>
  <c r="F11" i="4"/>
  <c r="J11" i="4"/>
  <c r="D13" i="4"/>
  <c r="E12" i="4"/>
  <c r="N23" i="2"/>
  <c r="Q23" i="2" s="1"/>
  <c r="Q31" i="1"/>
  <c r="G15" i="6" l="1"/>
  <c r="H14" i="6"/>
  <c r="D14" i="6"/>
  <c r="C15" i="6"/>
  <c r="H51" i="5"/>
  <c r="G52" i="5"/>
  <c r="L6" i="3"/>
  <c r="K6" i="3"/>
  <c r="F12" i="4"/>
  <c r="J12" i="4"/>
  <c r="L12" i="4" s="1"/>
  <c r="L11" i="4"/>
  <c r="D8" i="3"/>
  <c r="E7" i="3"/>
  <c r="F7" i="3" s="1"/>
  <c r="H7" i="3" s="1"/>
  <c r="E13" i="4"/>
  <c r="D20" i="4"/>
  <c r="R23" i="2"/>
  <c r="R31" i="1"/>
  <c r="H15" i="6" l="1"/>
  <c r="G16" i="6"/>
  <c r="D15" i="6"/>
  <c r="C16" i="6"/>
  <c r="H52" i="5"/>
  <c r="G53" i="5"/>
  <c r="K7" i="3"/>
  <c r="L7" i="3"/>
  <c r="M6" i="3"/>
  <c r="F13" i="4"/>
  <c r="F20" i="4" s="1"/>
  <c r="J13" i="4"/>
  <c r="D9" i="3"/>
  <c r="E8" i="3"/>
  <c r="F8" i="3" s="1"/>
  <c r="H8" i="3" s="1"/>
  <c r="E20" i="4"/>
  <c r="G17" i="6" l="1"/>
  <c r="H16" i="6"/>
  <c r="C17" i="6"/>
  <c r="D16" i="6"/>
  <c r="H53" i="5"/>
  <c r="G54" i="5"/>
  <c r="K8" i="3"/>
  <c r="L8" i="3"/>
  <c r="D10" i="3"/>
  <c r="E9" i="3"/>
  <c r="F9" i="3" s="1"/>
  <c r="H9" i="3" s="1"/>
  <c r="L13" i="4"/>
  <c r="L20" i="4" s="1"/>
  <c r="J20" i="4"/>
  <c r="M7" i="3"/>
  <c r="M20" i="4"/>
  <c r="H17" i="6" l="1"/>
  <c r="G18" i="6"/>
  <c r="D17" i="6"/>
  <c r="C18" i="6"/>
  <c r="H54" i="5"/>
  <c r="G55" i="5"/>
  <c r="K9" i="3"/>
  <c r="M9" i="3" s="1"/>
  <c r="L9" i="3"/>
  <c r="D11" i="3"/>
  <c r="E10" i="3"/>
  <c r="F10" i="3" s="1"/>
  <c r="H10" i="3" s="1"/>
  <c r="M8" i="3"/>
  <c r="G19" i="6" l="1"/>
  <c r="H18" i="6"/>
  <c r="D18" i="6"/>
  <c r="C19" i="6"/>
  <c r="H55" i="5"/>
  <c r="G56" i="5"/>
  <c r="K10" i="3"/>
  <c r="L10" i="3"/>
  <c r="D12" i="3"/>
  <c r="E11" i="3"/>
  <c r="F11" i="3" s="1"/>
  <c r="H11" i="3" s="1"/>
  <c r="H19" i="6" l="1"/>
  <c r="G20" i="6"/>
  <c r="D19" i="6"/>
  <c r="C20" i="6"/>
  <c r="H56" i="5"/>
  <c r="G57" i="5"/>
  <c r="H57" i="5" s="1"/>
  <c r="K11" i="3"/>
  <c r="M11" i="3" s="1"/>
  <c r="L11" i="3"/>
  <c r="D13" i="3"/>
  <c r="E12" i="3"/>
  <c r="F12" i="3" s="1"/>
  <c r="H12" i="3" s="1"/>
  <c r="M10" i="3"/>
  <c r="G21" i="6" l="1"/>
  <c r="H20" i="6"/>
  <c r="C21" i="6"/>
  <c r="D20" i="6"/>
  <c r="K12" i="3"/>
  <c r="M12" i="3" s="1"/>
  <c r="L12" i="3"/>
  <c r="E13" i="3"/>
  <c r="F13" i="3" s="1"/>
  <c r="H13" i="3" s="1"/>
  <c r="D20" i="3"/>
  <c r="H21" i="6" l="1"/>
  <c r="G22" i="6"/>
  <c r="D21" i="6"/>
  <c r="C22" i="6"/>
  <c r="K13" i="3"/>
  <c r="M13" i="3" s="1"/>
  <c r="M20" i="3" s="1"/>
  <c r="L13" i="3"/>
  <c r="L20" i="3" s="1"/>
  <c r="H20" i="3"/>
  <c r="F20" i="3"/>
  <c r="E20" i="3"/>
  <c r="G23" i="6" l="1"/>
  <c r="H22" i="6"/>
  <c r="D22" i="6"/>
  <c r="C23" i="6"/>
  <c r="K20" i="3"/>
  <c r="H23" i="6" l="1"/>
  <c r="G24" i="6"/>
  <c r="D23" i="6"/>
  <c r="C24" i="6"/>
  <c r="G25" i="6" l="1"/>
  <c r="H24" i="6"/>
  <c r="C25" i="6"/>
  <c r="D24" i="6"/>
  <c r="H25" i="6" l="1"/>
  <c r="G26" i="6"/>
  <c r="D25" i="6"/>
  <c r="C26" i="6"/>
  <c r="G27" i="6" l="1"/>
  <c r="H26" i="6"/>
  <c r="D26" i="6"/>
  <c r="C27" i="6"/>
  <c r="H27" i="6" l="1"/>
  <c r="G28" i="6"/>
  <c r="D27" i="6"/>
  <c r="C28" i="6"/>
  <c r="G29" i="6" l="1"/>
  <c r="H28" i="6"/>
  <c r="C29" i="6"/>
  <c r="D28" i="6"/>
  <c r="H29" i="6" l="1"/>
  <c r="G30" i="6"/>
  <c r="D29" i="6"/>
  <c r="C30" i="6"/>
  <c r="G31" i="6" l="1"/>
  <c r="H30" i="6"/>
  <c r="D30" i="6"/>
  <c r="C31" i="6"/>
  <c r="H31" i="6" l="1"/>
  <c r="G32" i="6"/>
  <c r="D31" i="6"/>
  <c r="C32" i="6"/>
  <c r="G33" i="6" l="1"/>
  <c r="H32" i="6"/>
  <c r="C33" i="6"/>
  <c r="D32" i="6"/>
  <c r="H33" i="6" l="1"/>
  <c r="G34" i="6"/>
  <c r="D33" i="6"/>
  <c r="C34" i="6"/>
  <c r="G35" i="6" l="1"/>
  <c r="H34" i="6"/>
  <c r="C35" i="6"/>
  <c r="D34" i="6"/>
  <c r="H35" i="6" l="1"/>
  <c r="G36" i="6"/>
  <c r="D35" i="6"/>
  <c r="C36" i="6"/>
  <c r="G37" i="6" l="1"/>
  <c r="H36" i="6"/>
  <c r="C37" i="6"/>
  <c r="D36" i="6"/>
  <c r="H37" i="6" l="1"/>
  <c r="G38" i="6"/>
  <c r="D37" i="6"/>
  <c r="C38" i="6"/>
  <c r="G39" i="6" l="1"/>
  <c r="H38" i="6"/>
  <c r="C39" i="6"/>
  <c r="D38" i="6"/>
  <c r="H39" i="6" l="1"/>
  <c r="G40" i="6"/>
  <c r="D39" i="6"/>
  <c r="C40" i="6"/>
  <c r="G41" i="6" l="1"/>
  <c r="H40" i="6"/>
  <c r="C41" i="6"/>
  <c r="D40" i="6"/>
  <c r="H41" i="6" l="1"/>
  <c r="G42" i="6"/>
  <c r="D41" i="6"/>
  <c r="C42" i="6"/>
  <c r="G43" i="6" l="1"/>
  <c r="H42" i="6"/>
  <c r="C43" i="6"/>
  <c r="D42" i="6"/>
  <c r="H43" i="6" l="1"/>
  <c r="G44" i="6"/>
  <c r="D43" i="6"/>
  <c r="C44" i="6"/>
  <c r="G45" i="6" l="1"/>
  <c r="H44" i="6"/>
  <c r="C45" i="6"/>
  <c r="D44" i="6"/>
  <c r="H45" i="6" l="1"/>
  <c r="G46" i="6"/>
  <c r="D45" i="6"/>
  <c r="C46" i="6"/>
  <c r="G47" i="6" l="1"/>
  <c r="H46" i="6"/>
  <c r="C47" i="6"/>
  <c r="D46" i="6"/>
  <c r="H47" i="6" l="1"/>
  <c r="G48" i="6"/>
  <c r="D47" i="6"/>
  <c r="C48" i="6"/>
  <c r="G49" i="6" l="1"/>
  <c r="H48" i="6"/>
  <c r="C49" i="6"/>
  <c r="D48" i="6"/>
  <c r="H49" i="6" l="1"/>
  <c r="G50" i="6"/>
  <c r="D49" i="6"/>
  <c r="C50" i="6"/>
  <c r="G51" i="6" l="1"/>
  <c r="H50" i="6"/>
  <c r="C51" i="6"/>
  <c r="D50" i="6"/>
  <c r="H51" i="6" l="1"/>
  <c r="G52" i="6"/>
  <c r="D51" i="6"/>
  <c r="C52" i="6"/>
  <c r="G53" i="6" l="1"/>
  <c r="H52" i="6"/>
  <c r="C53" i="6"/>
  <c r="D53" i="6" s="1"/>
  <c r="D52" i="6"/>
  <c r="H53" i="6" l="1"/>
  <c r="G54" i="6"/>
  <c r="G55" i="6" l="1"/>
  <c r="H54" i="6"/>
  <c r="H55" i="6" l="1"/>
  <c r="G56" i="6"/>
  <c r="H56" i="6" s="1"/>
</calcChain>
</file>

<file path=xl/sharedStrings.xml><?xml version="1.0" encoding="utf-8"?>
<sst xmlns="http://schemas.openxmlformats.org/spreadsheetml/2006/main" count="559" uniqueCount="262">
  <si>
    <t>MGL Basic Reports From New Software</t>
  </si>
  <si>
    <t>SP NAME</t>
  </si>
  <si>
    <t>FM WK NO</t>
  </si>
  <si>
    <t>TO WEEK NO</t>
  </si>
  <si>
    <t>FM MON</t>
  </si>
  <si>
    <t>TO MON</t>
  </si>
  <si>
    <t>MGL REF</t>
  </si>
  <si>
    <t>UNIT</t>
  </si>
  <si>
    <t>NOS</t>
  </si>
  <si>
    <t>FREIGHT</t>
  </si>
  <si>
    <t>INLAND</t>
  </si>
  <si>
    <t>OTHERS</t>
  </si>
  <si>
    <t>REVENUE</t>
  </si>
  <si>
    <t xml:space="preserve"> </t>
  </si>
  <si>
    <t>FRT COMM</t>
  </si>
  <si>
    <t>COST</t>
  </si>
  <si>
    <t>GROSS</t>
  </si>
  <si>
    <t>SALES</t>
  </si>
  <si>
    <t xml:space="preserve">GROSS </t>
  </si>
  <si>
    <t>2.5% - [if Y]</t>
  </si>
  <si>
    <t>PROFIT</t>
  </si>
  <si>
    <t>AVG REV</t>
  </si>
  <si>
    <t>PER UNIT</t>
  </si>
  <si>
    <t>AVG COST</t>
  </si>
  <si>
    <t>AVG MAR</t>
  </si>
  <si>
    <t>BHOPAL</t>
  </si>
  <si>
    <t>BH180001</t>
  </si>
  <si>
    <t>BH180002</t>
  </si>
  <si>
    <t>BH180003</t>
  </si>
  <si>
    <t>BH180004</t>
  </si>
  <si>
    <t>BH180005</t>
  </si>
  <si>
    <t>BH180006</t>
  </si>
  <si>
    <t>BH180007</t>
  </si>
  <si>
    <t>BH180008</t>
  </si>
  <si>
    <t>BH180009</t>
  </si>
  <si>
    <t>BH180010</t>
  </si>
  <si>
    <t>BH180011</t>
  </si>
  <si>
    <t>BH180012</t>
  </si>
  <si>
    <t>BH180013</t>
  </si>
  <si>
    <t>BH180014</t>
  </si>
  <si>
    <t>G P RATIO</t>
  </si>
  <si>
    <t>IN %</t>
  </si>
  <si>
    <t>Product</t>
  </si>
  <si>
    <t>Sea Export</t>
  </si>
  <si>
    <t>TOTALS</t>
  </si>
  <si>
    <t>DELHI</t>
  </si>
  <si>
    <t>DE180001</t>
  </si>
  <si>
    <t>DE180002</t>
  </si>
  <si>
    <t>DE180003</t>
  </si>
  <si>
    <t>DE180004</t>
  </si>
  <si>
    <t>DE180005</t>
  </si>
  <si>
    <t>DE180006</t>
  </si>
  <si>
    <t>DE180007</t>
  </si>
  <si>
    <t>DE180008</t>
  </si>
  <si>
    <t>DE180009</t>
  </si>
  <si>
    <t>DE180010</t>
  </si>
  <si>
    <t>DE180011</t>
  </si>
  <si>
    <t>DE180012</t>
  </si>
  <si>
    <t>DE180013</t>
  </si>
  <si>
    <t>DE180014</t>
  </si>
  <si>
    <t>BOM</t>
  </si>
  <si>
    <t>MU180001</t>
  </si>
  <si>
    <t>MU180002</t>
  </si>
  <si>
    <t>MU180003</t>
  </si>
  <si>
    <t>MU180004</t>
  </si>
  <si>
    <t>MU180005</t>
  </si>
  <si>
    <t>MU180006</t>
  </si>
  <si>
    <t>MU180007</t>
  </si>
  <si>
    <t>MU180008</t>
  </si>
  <si>
    <t>MU180009</t>
  </si>
  <si>
    <t>MU180010</t>
  </si>
  <si>
    <t>MU180011</t>
  </si>
  <si>
    <t>MU180012</t>
  </si>
  <si>
    <t>MU180013</t>
  </si>
  <si>
    <t>MU180014</t>
  </si>
  <si>
    <t>ALL</t>
  </si>
  <si>
    <t>MUMBAI</t>
  </si>
  <si>
    <t>DUBAI</t>
  </si>
  <si>
    <t>SP004</t>
  </si>
  <si>
    <t>SP005</t>
  </si>
  <si>
    <t>SP006</t>
  </si>
  <si>
    <t>SP007</t>
  </si>
  <si>
    <t>SP008</t>
  </si>
  <si>
    <t>SP009</t>
  </si>
  <si>
    <t>SP010</t>
  </si>
  <si>
    <t>SP COMMISSION REPORT</t>
  </si>
  <si>
    <t>BUSINESS TYPE</t>
  </si>
  <si>
    <t>AA</t>
  </si>
  <si>
    <t>BB</t>
  </si>
  <si>
    <t>CC</t>
  </si>
  <si>
    <t>DD</t>
  </si>
  <si>
    <t>EE</t>
  </si>
  <si>
    <t>FF</t>
  </si>
  <si>
    <t>GG</t>
  </si>
  <si>
    <t>HH</t>
  </si>
  <si>
    <t>CLASSIFICATION</t>
  </si>
  <si>
    <t>MARGIN</t>
  </si>
  <si>
    <t>PROV 5%</t>
  </si>
  <si>
    <t>NET MARGIN</t>
  </si>
  <si>
    <t>TTL COM %</t>
  </si>
  <si>
    <t>TTL COMM</t>
  </si>
  <si>
    <t>% SP-BH</t>
  </si>
  <si>
    <t>% SP XX</t>
  </si>
  <si>
    <t>COMM SP-BH</t>
  </si>
  <si>
    <t>COMM SP-XX</t>
  </si>
  <si>
    <t>TOTAL</t>
  </si>
  <si>
    <t>RECON</t>
  </si>
  <si>
    <t>SUMMARISED</t>
  </si>
  <si>
    <t xml:space="preserve">  </t>
  </si>
  <si>
    <t>COMM EARNED</t>
  </si>
  <si>
    <t>COMM PAID</t>
  </si>
  <si>
    <t>NET POSITION</t>
  </si>
  <si>
    <t>PROV E&amp;O 5%</t>
  </si>
  <si>
    <t>E&amp;O CHGS</t>
  </si>
  <si>
    <t>PROV BAL</t>
  </si>
  <si>
    <t>MGL SOFTWARE DEVELOPMENT</t>
  </si>
  <si>
    <t>ESSENTIAL FILEDS FM ENQUIRY LEVEL WHICH WILL GET TRANSFERRED TO QUOTATION, THEN BOOKING, THEN INVOICE</t>
  </si>
  <si>
    <t>THE SAME TO BE FOR ISSUANCE OF A CREDIT NOTE</t>
  </si>
  <si>
    <t>IMPORTANT FIELDS [besides various others already advised by Chaks and Hamid]. There could be duplication.</t>
  </si>
  <si>
    <t>in abbreviated form ie BH for bhopal and MU for Mumbai</t>
  </si>
  <si>
    <t>MN = MGL NOMINATED</t>
  </si>
  <si>
    <t>MS=OLD MGL BUT SECURED BY SP</t>
  </si>
  <si>
    <t>RN=REFERRED BY MGL NOMIDATED CUSTOMER</t>
  </si>
  <si>
    <t>FEE %</t>
  </si>
  <si>
    <t>FEE%</t>
  </si>
  <si>
    <t>MAIN SP</t>
  </si>
  <si>
    <t>OTH SP</t>
  </si>
  <si>
    <t>SN=SP GENERATED/NOMINATED</t>
  </si>
  <si>
    <t>SH = SP NOMINATED AND HANDLED BY OTHER SP</t>
  </si>
  <si>
    <t>HS</t>
  </si>
  <si>
    <t>HANDLING SP</t>
  </si>
  <si>
    <t>MAIN TYPES OF BUSINESS</t>
  </si>
  <si>
    <t>SEA EXPORT</t>
  </si>
  <si>
    <t>BY RESPECTIVE SP</t>
  </si>
  <si>
    <t>SEA IMPORT</t>
  </si>
  <si>
    <t>SEA CROSS TRADE</t>
  </si>
  <si>
    <t>SEA TRANSHIPMENT</t>
  </si>
  <si>
    <t>AIR EXPORT</t>
  </si>
  <si>
    <t>AIR IMPORT</t>
  </si>
  <si>
    <t>AIR CROSS TRADE</t>
  </si>
  <si>
    <t>AIR HANDLING</t>
  </si>
  <si>
    <t>WAREHOUSING</t>
  </si>
  <si>
    <t>TRUCKING</t>
  </si>
  <si>
    <t>CLEARING</t>
  </si>
  <si>
    <t>FORWARDING</t>
  </si>
  <si>
    <t>COMMON SALES AND COST OF SALES CODES</t>
  </si>
  <si>
    <t>[FULL LIST WILL BE PROVIDED BY IP/HH/KC]</t>
  </si>
  <si>
    <t>NAME</t>
  </si>
  <si>
    <t>REV CODE</t>
  </si>
  <si>
    <t>COST CODE</t>
  </si>
  <si>
    <t>Ocean Freight</t>
  </si>
  <si>
    <t>Air Freight</t>
  </si>
  <si>
    <t>T/S Freight</t>
  </si>
  <si>
    <t>THC Origin</t>
  </si>
  <si>
    <t>THC Destination</t>
  </si>
  <si>
    <t>Handling IN</t>
  </si>
  <si>
    <t>Handling OUT</t>
  </si>
  <si>
    <t>Sealing</t>
  </si>
  <si>
    <t>BL Fee</t>
  </si>
  <si>
    <t>Attestation</t>
  </si>
  <si>
    <t>Legalisation</t>
  </si>
  <si>
    <t>Documentation</t>
  </si>
  <si>
    <t>Origin Agents fee</t>
  </si>
  <si>
    <t>Destination Agents Fee</t>
  </si>
  <si>
    <t>Trucking-Origin</t>
  </si>
  <si>
    <t>Trucking-Destination</t>
  </si>
  <si>
    <t>Origin-Loading</t>
  </si>
  <si>
    <t>Destination-Loading</t>
  </si>
  <si>
    <t>Labour</t>
  </si>
  <si>
    <t>Crane Hire</t>
  </si>
  <si>
    <t>Forklift Hire</t>
  </si>
  <si>
    <t>Inspection</t>
  </si>
  <si>
    <t>Packing</t>
  </si>
  <si>
    <t>Palletisation</t>
  </si>
  <si>
    <t>De-Pallatisation</t>
  </si>
  <si>
    <t>Labelling</t>
  </si>
  <si>
    <t>Date Stamping</t>
  </si>
  <si>
    <t>Travels Direct</t>
  </si>
  <si>
    <t>Insurance Marine</t>
  </si>
  <si>
    <t>Insurance Haulage</t>
  </si>
  <si>
    <t>Co-ordination fee</t>
  </si>
  <si>
    <t>Management Fee</t>
  </si>
  <si>
    <t>Project Fee</t>
  </si>
  <si>
    <t>AWB Fee</t>
  </si>
  <si>
    <t>Delivery Order Fee</t>
  </si>
  <si>
    <t>Commission Payable</t>
  </si>
  <si>
    <t>WH-storage</t>
  </si>
  <si>
    <t>WH-handling IN</t>
  </si>
  <si>
    <t>WH-handling OUT</t>
  </si>
  <si>
    <t>WH-Loading</t>
  </si>
  <si>
    <t>WH-Off loading</t>
  </si>
  <si>
    <t>WH-Fork Lift</t>
  </si>
  <si>
    <t>WH-Management</t>
  </si>
  <si>
    <t>Break-Bulk Fee</t>
  </si>
  <si>
    <t>A TYPICAL DETAIL QUOTATION [ASSUMED ALL SALES AND COST ELEMENTS]…..</t>
  </si>
  <si>
    <t>MGL REF NO</t>
  </si>
  <si>
    <t>INQ NO</t>
  </si>
  <si>
    <t>QUOTE NO</t>
  </si>
  <si>
    <t>BH18SFE001</t>
  </si>
  <si>
    <t>OUT QUOTED</t>
  </si>
  <si>
    <t>Amount</t>
  </si>
  <si>
    <t>Expected</t>
  </si>
  <si>
    <t>Cost Quoted</t>
  </si>
  <si>
    <t>by Suppliers</t>
  </si>
  <si>
    <t>Supplier</t>
  </si>
  <si>
    <t>Name</t>
  </si>
  <si>
    <t>TO BILL</t>
  </si>
  <si>
    <t>TOTAL AMOUNT</t>
  </si>
  <si>
    <t>Mr. Fakir 01</t>
  </si>
  <si>
    <t>Mr. Fakir 02</t>
  </si>
  <si>
    <t>Mr. Fakir 03</t>
  </si>
  <si>
    <t>Mr. Fakir 04</t>
  </si>
  <si>
    <t>Mr. Fakir 05</t>
  </si>
  <si>
    <t>Mr. Fakir 06</t>
  </si>
  <si>
    <t>Mr. Fakir 07</t>
  </si>
  <si>
    <t>Mr. Fakir 08</t>
  </si>
  <si>
    <t>Mr. Fakir 09</t>
  </si>
  <si>
    <t>Mr. Fakir 10</t>
  </si>
  <si>
    <t>Mr. Fakir 11</t>
  </si>
  <si>
    <t>Mr. Fakir 12</t>
  </si>
  <si>
    <t>Mr. Fakir 13</t>
  </si>
  <si>
    <t>Mr. Fakir 14</t>
  </si>
  <si>
    <t>Mr. Fakir 15</t>
  </si>
  <si>
    <t>Mr. Chaks 01</t>
  </si>
  <si>
    <t>Mr. Chaks 02</t>
  </si>
  <si>
    <t>Mr. Chaks 03</t>
  </si>
  <si>
    <t>Mr. Chaks 04</t>
  </si>
  <si>
    <t>Mr. Chaks 05</t>
  </si>
  <si>
    <t>Mr. Chaks 06</t>
  </si>
  <si>
    <t>Mr. Chaks 07</t>
  </si>
  <si>
    <t>Mr. Chaks 08</t>
  </si>
  <si>
    <t>Mr. Chaks 09</t>
  </si>
  <si>
    <t>Mr. Chaks 10</t>
  </si>
  <si>
    <t>Mr. Chaks 11</t>
  </si>
  <si>
    <t>Mr. Chaks 12</t>
  </si>
  <si>
    <t>Mr. Chaks 13</t>
  </si>
  <si>
    <t>Mr. Chaks 14</t>
  </si>
  <si>
    <t>Mr. Chaks 15</t>
  </si>
  <si>
    <t>Mr. Hamid 01</t>
  </si>
  <si>
    <t>Mr. Hamid 02</t>
  </si>
  <si>
    <t>Mr. Hamid 03</t>
  </si>
  <si>
    <t>Mr. Hamid 04</t>
  </si>
  <si>
    <t>Mr. Hamid 05</t>
  </si>
  <si>
    <t>Mr. Hamid 06</t>
  </si>
  <si>
    <t>Mr. Hamid 07</t>
  </si>
  <si>
    <t>Mr. Hamid 08</t>
  </si>
  <si>
    <t>Mr. Hamid 09</t>
  </si>
  <si>
    <t>Mr. Hamid 10</t>
  </si>
  <si>
    <t>Mr. Hamid 11</t>
  </si>
  <si>
    <t>Mr. Hamid 12</t>
  </si>
  <si>
    <t>Mr. Hamid 13</t>
  </si>
  <si>
    <t>Mr. Hamid 14</t>
  </si>
  <si>
    <t>Mr. Hamid 15</t>
  </si>
  <si>
    <t>Mr. Hamid 16</t>
  </si>
  <si>
    <t>Mr. Hamid 17</t>
  </si>
  <si>
    <t>Mr. Hamid 18</t>
  </si>
  <si>
    <t>Mr. Hamid 19</t>
  </si>
  <si>
    <t>Mr. Hamid 20</t>
  </si>
  <si>
    <t>the customers and suppliers name should be there in the system</t>
  </si>
  <si>
    <t>the expected cost to be transferred to cost of sales account.</t>
  </si>
  <si>
    <t>once actual vendor invoives will come it will be keyed off against expected cost in Quick Books</t>
  </si>
  <si>
    <t>Courer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</si>
</sst>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3F3F7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4" fillId="3" borderId="3" applyNumberFormat="0" applyAlignment="0" applyProtection="0"/>
    <xf numFmtId="0" fontId="1" fillId="4" borderId="4" applyNumberFormat="0" applyFont="0" applyAlignment="0" applyProtection="0"/>
    <xf numFmtId="0" fontId="1" fillId="5" borderId="0" applyNumberFormat="0" applyBorder="0" applyAlignment="0" applyProtection="0"/>
    <xf numFmtId="0" fontId="10" fillId="6" borderId="10" applyNumberFormat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54">
    <xf numFmtId="0" fontId="0" fillId="0" borderId="0" xfId="0"/>
    <xf numFmtId="0" fontId="2" fillId="0" borderId="1" xfId="3"/>
    <xf numFmtId="0" fontId="4" fillId="3" borderId="3" xfId="5"/>
    <xf numFmtId="0" fontId="5" fillId="4" borderId="4" xfId="6" applyFont="1"/>
    <xf numFmtId="0" fontId="5" fillId="4" borderId="4" xfId="6" applyFont="1" applyAlignment="1">
      <alignment horizontal="right"/>
    </xf>
    <xf numFmtId="0" fontId="4" fillId="3" borderId="3" xfId="5" applyAlignment="1">
      <alignment horizontal="left"/>
    </xf>
    <xf numFmtId="43" fontId="4" fillId="3" borderId="3" xfId="1" applyFont="1" applyFill="1" applyBorder="1"/>
    <xf numFmtId="43" fontId="4" fillId="3" borderId="3" xfId="5" applyNumberFormat="1"/>
    <xf numFmtId="43" fontId="3" fillId="2" borderId="2" xfId="4" applyNumberFormat="1"/>
    <xf numFmtId="0" fontId="6" fillId="3" borderId="3" xfId="5" applyFont="1"/>
    <xf numFmtId="17" fontId="6" fillId="3" borderId="3" xfId="5" applyNumberFormat="1" applyFont="1"/>
    <xf numFmtId="0" fontId="4" fillId="3" borderId="3" xfId="5" applyAlignment="1">
      <alignment horizontal="right"/>
    </xf>
    <xf numFmtId="43" fontId="1" fillId="5" borderId="3" xfId="7" applyNumberFormat="1" applyBorder="1"/>
    <xf numFmtId="43" fontId="7" fillId="2" borderId="2" xfId="1" applyFont="1" applyFill="1" applyBorder="1" applyAlignment="1">
      <alignment horizontal="left"/>
    </xf>
    <xf numFmtId="43" fontId="7" fillId="2" borderId="2" xfId="1" applyFont="1" applyFill="1" applyBorder="1" applyAlignment="1">
      <alignment horizontal="right"/>
    </xf>
    <xf numFmtId="9" fontId="4" fillId="3" borderId="3" xfId="2" applyFont="1" applyFill="1" applyBorder="1"/>
    <xf numFmtId="9" fontId="7" fillId="2" borderId="2" xfId="2" applyFont="1" applyFill="1" applyBorder="1" applyAlignment="1">
      <alignment horizontal="right"/>
    </xf>
    <xf numFmtId="43" fontId="1" fillId="5" borderId="2" xfId="7" applyNumberFormat="1" applyBorder="1" applyAlignment="1">
      <alignment horizontal="right"/>
    </xf>
    <xf numFmtId="43" fontId="4" fillId="3" borderId="3" xfId="5" applyNumberFormat="1" applyAlignment="1">
      <alignment horizontal="right"/>
    </xf>
    <xf numFmtId="9" fontId="3" fillId="2" borderId="2" xfId="4" applyNumberFormat="1"/>
    <xf numFmtId="0" fontId="6" fillId="3" borderId="5" xfId="5" applyFont="1" applyBorder="1"/>
    <xf numFmtId="17" fontId="6" fillId="3" borderId="5" xfId="5" applyNumberFormat="1" applyFont="1" applyBorder="1"/>
    <xf numFmtId="0" fontId="4" fillId="3" borderId="6" xfId="5" applyBorder="1"/>
    <xf numFmtId="0" fontId="8" fillId="4" borderId="7" xfId="6" applyFont="1" applyBorder="1"/>
    <xf numFmtId="0" fontId="8" fillId="4" borderId="8" xfId="6" applyFont="1" applyBorder="1"/>
    <xf numFmtId="0" fontId="8" fillId="4" borderId="8" xfId="6" applyFont="1" applyBorder="1" applyAlignment="1">
      <alignment horizontal="right"/>
    </xf>
    <xf numFmtId="0" fontId="8" fillId="4" borderId="9" xfId="6" applyFont="1" applyBorder="1" applyAlignment="1">
      <alignment horizontal="right"/>
    </xf>
    <xf numFmtId="0" fontId="9" fillId="3" borderId="3" xfId="5" applyFont="1"/>
    <xf numFmtId="43" fontId="4" fillId="3" borderId="6" xfId="5" applyNumberFormat="1" applyBorder="1"/>
    <xf numFmtId="43" fontId="9" fillId="3" borderId="3" xfId="5" applyNumberFormat="1" applyFont="1"/>
    <xf numFmtId="9" fontId="4" fillId="3" borderId="6" xfId="2" applyFont="1" applyFill="1" applyBorder="1"/>
    <xf numFmtId="43" fontId="4" fillId="3" borderId="6" xfId="1" applyFont="1" applyFill="1" applyBorder="1"/>
    <xf numFmtId="43" fontId="4" fillId="3" borderId="6" xfId="2" applyNumberFormat="1" applyFont="1" applyFill="1" applyBorder="1"/>
    <xf numFmtId="0" fontId="0" fillId="0" borderId="0" xfId="0" applyAlignment="1">
      <alignment horizontal="left"/>
    </xf>
    <xf numFmtId="9" fontId="0" fillId="0" borderId="11" xfId="2" applyFont="1" applyBorder="1"/>
    <xf numFmtId="0" fontId="0" fillId="0" borderId="0" xfId="0" applyAlignment="1">
      <alignment horizontal="right"/>
    </xf>
    <xf numFmtId="0" fontId="10" fillId="6" borderId="12" xfId="8" applyBorder="1" applyAlignment="1">
      <alignment horizontal="right"/>
    </xf>
    <xf numFmtId="0" fontId="0" fillId="0" borderId="11" xfId="0" applyBorder="1"/>
    <xf numFmtId="0" fontId="10" fillId="6" borderId="12" xfId="8" applyBorder="1"/>
    <xf numFmtId="0" fontId="0" fillId="0" borderId="11" xfId="0" applyBorder="1" applyAlignment="1">
      <alignment horizontal="right"/>
    </xf>
    <xf numFmtId="0" fontId="1" fillId="7" borderId="11" xfId="9" applyBorder="1" applyAlignment="1">
      <alignment horizontal="right"/>
    </xf>
    <xf numFmtId="0" fontId="1" fillId="7" borderId="11" xfId="9" applyBorder="1"/>
    <xf numFmtId="43" fontId="1" fillId="7" borderId="11" xfId="9" applyNumberFormat="1" applyBorder="1"/>
    <xf numFmtId="0" fontId="1" fillId="5" borderId="11" xfId="7" applyBorder="1" applyAlignment="1">
      <alignment horizontal="right"/>
    </xf>
    <xf numFmtId="0" fontId="1" fillId="5" borderId="11" xfId="7" applyBorder="1"/>
    <xf numFmtId="43" fontId="1" fillId="5" borderId="11" xfId="7" applyNumberFormat="1" applyBorder="1"/>
    <xf numFmtId="0" fontId="1" fillId="8" borderId="11" xfId="10" applyBorder="1" applyAlignment="1">
      <alignment horizontal="right"/>
    </xf>
    <xf numFmtId="0" fontId="1" fillId="8" borderId="11" xfId="10" applyBorder="1"/>
    <xf numFmtId="0" fontId="0" fillId="8" borderId="11" xfId="10" applyFont="1" applyBorder="1"/>
    <xf numFmtId="0" fontId="11" fillId="3" borderId="3" xfId="5" applyFont="1" applyAlignment="1">
      <alignment horizontal="left"/>
    </xf>
    <xf numFmtId="0" fontId="11" fillId="3" borderId="3" xfId="5" applyFont="1" applyAlignment="1">
      <alignment horizontal="right"/>
    </xf>
    <xf numFmtId="43" fontId="11" fillId="3" borderId="3" xfId="1" applyFont="1" applyFill="1" applyBorder="1"/>
    <xf numFmtId="0" fontId="12" fillId="3" borderId="3" xfId="5" applyFont="1"/>
    <xf numFmtId="17" fontId="12" fillId="3" borderId="3" xfId="5" applyNumberFormat="1" applyFont="1"/>
  </cellXfs>
  <cellStyles count="11">
    <cellStyle name="60% - Accent2" xfId="9" builtinId="36"/>
    <cellStyle name="60% - Accent5" xfId="10" builtinId="48"/>
    <cellStyle name="60% - Accent6" xfId="7" builtinId="52"/>
    <cellStyle name="Check Cell" xfId="8" builtinId="23"/>
    <cellStyle name="Comma" xfId="1" builtinId="3"/>
    <cellStyle name="Heading 2" xfId="3" builtinId="17"/>
    <cellStyle name="Input" xfId="4" builtinId="20"/>
    <cellStyle name="Normal" xfId="0" builtinId="0"/>
    <cellStyle name="Note" xfId="6" builtinId="10"/>
    <cellStyle name="Output" xfId="5" builtinId="2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66"/>
  <sheetViews>
    <sheetView tabSelected="1" zoomScale="124" zoomScaleNormal="124" workbookViewId="0">
      <selection activeCell="F10" sqref="F10"/>
    </sheetView>
  </sheetViews>
  <sheetFormatPr defaultRowHeight="14.4" x14ac:dyDescent="0.3"/>
  <cols>
    <col min="1" max="1" width="1.44140625" customWidth="1"/>
    <col min="2" max="2" width="10.44140625" customWidth="1"/>
    <col min="3" max="3" width="8.44140625" customWidth="1"/>
    <col min="5" max="13" width="10.6640625" customWidth="1"/>
    <col min="14" max="14" width="11" customWidth="1"/>
    <col min="15" max="17" width="12.6640625" customWidth="1"/>
  </cols>
  <sheetData>
    <row r="2" spans="2:18" ht="18" thickBot="1" x14ac:dyDescent="0.4">
      <c r="B2" s="1" t="s">
        <v>0</v>
      </c>
      <c r="C2" s="1"/>
      <c r="D2" s="1"/>
      <c r="E2" s="1"/>
      <c r="F2" s="1"/>
    </row>
    <row r="3" spans="2:18" ht="15" thickTop="1" x14ac:dyDescent="0.3"/>
    <row r="4" spans="2:18" x14ac:dyDescent="0.3">
      <c r="B4" s="52" t="s">
        <v>1</v>
      </c>
      <c r="C4" s="52" t="s">
        <v>25</v>
      </c>
      <c r="D4" s="52" t="s">
        <v>2</v>
      </c>
      <c r="E4" s="52">
        <v>1</v>
      </c>
      <c r="F4" s="52" t="s">
        <v>3</v>
      </c>
      <c r="G4" s="52">
        <v>5</v>
      </c>
      <c r="H4" s="52"/>
      <c r="I4" s="52" t="s">
        <v>4</v>
      </c>
      <c r="J4" s="53">
        <v>43101</v>
      </c>
      <c r="K4" s="52" t="s">
        <v>5</v>
      </c>
      <c r="L4" s="53">
        <v>43101</v>
      </c>
      <c r="M4" s="52" t="s">
        <v>42</v>
      </c>
      <c r="N4" s="53" t="s">
        <v>43</v>
      </c>
      <c r="O4" s="9" t="s">
        <v>13</v>
      </c>
      <c r="P4" s="10" t="s">
        <v>13</v>
      </c>
    </row>
    <row r="5" spans="2:18" x14ac:dyDescent="0.3">
      <c r="K5" t="s">
        <v>13</v>
      </c>
    </row>
    <row r="6" spans="2:18" x14ac:dyDescent="0.3">
      <c r="B6" s="3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16</v>
      </c>
      <c r="I6" s="4" t="s">
        <v>9</v>
      </c>
      <c r="J6" s="4" t="s">
        <v>14</v>
      </c>
      <c r="K6" s="4" t="s">
        <v>10</v>
      </c>
      <c r="L6" s="4" t="s">
        <v>11</v>
      </c>
      <c r="M6" s="4" t="s">
        <v>18</v>
      </c>
      <c r="N6" s="4" t="s">
        <v>16</v>
      </c>
      <c r="O6" s="4" t="s">
        <v>21</v>
      </c>
      <c r="P6" s="4" t="s">
        <v>23</v>
      </c>
      <c r="Q6" s="4" t="s">
        <v>24</v>
      </c>
      <c r="R6" s="4" t="s">
        <v>40</v>
      </c>
    </row>
    <row r="7" spans="2:18" x14ac:dyDescent="0.3">
      <c r="B7" s="3"/>
      <c r="C7" s="4"/>
      <c r="D7" s="4"/>
      <c r="E7" s="4" t="s">
        <v>12</v>
      </c>
      <c r="F7" s="4" t="s">
        <v>12</v>
      </c>
      <c r="G7" s="4" t="s">
        <v>12</v>
      </c>
      <c r="H7" s="4" t="s">
        <v>17</v>
      </c>
      <c r="I7" s="4" t="s">
        <v>15</v>
      </c>
      <c r="J7" s="4" t="s">
        <v>19</v>
      </c>
      <c r="K7" s="4" t="s">
        <v>15</v>
      </c>
      <c r="L7" s="4" t="s">
        <v>15</v>
      </c>
      <c r="M7" s="4" t="s">
        <v>15</v>
      </c>
      <c r="N7" s="4" t="s">
        <v>20</v>
      </c>
      <c r="O7" s="4" t="s">
        <v>22</v>
      </c>
      <c r="P7" s="4" t="s">
        <v>22</v>
      </c>
      <c r="Q7" s="4" t="s">
        <v>22</v>
      </c>
      <c r="R7" s="4" t="s">
        <v>41</v>
      </c>
    </row>
    <row r="8" spans="2:18" x14ac:dyDescent="0.3">
      <c r="B8" s="49" t="s">
        <v>26</v>
      </c>
      <c r="C8" s="50">
        <v>20</v>
      </c>
      <c r="D8" s="50">
        <v>1</v>
      </c>
      <c r="E8" s="51">
        <v>2000</v>
      </c>
      <c r="F8" s="51">
        <v>1000</v>
      </c>
      <c r="G8" s="51">
        <v>200</v>
      </c>
      <c r="H8" s="8">
        <f>SUM(E8:G8)</f>
        <v>3200</v>
      </c>
      <c r="I8" s="51">
        <f>E8*0.8</f>
        <v>1600</v>
      </c>
      <c r="J8" s="6">
        <f>I8*0.025*-1</f>
        <v>-40</v>
      </c>
      <c r="K8" s="51">
        <f>F8*0.7</f>
        <v>700</v>
      </c>
      <c r="L8" s="51">
        <f>G8*0.5</f>
        <v>100</v>
      </c>
      <c r="M8" s="8">
        <f>SUM(I8:L8)</f>
        <v>2360</v>
      </c>
      <c r="N8" s="12">
        <f>H8-M8</f>
        <v>840</v>
      </c>
      <c r="O8" s="6">
        <f>H8/D8</f>
        <v>3200</v>
      </c>
      <c r="P8" s="6">
        <f>M8/D8</f>
        <v>2360</v>
      </c>
      <c r="Q8" s="6">
        <f>N8/D8</f>
        <v>840</v>
      </c>
      <c r="R8" s="15">
        <f>Q8/H8</f>
        <v>0.26250000000000001</v>
      </c>
    </row>
    <row r="9" spans="2:18" x14ac:dyDescent="0.3">
      <c r="B9" s="5" t="s">
        <v>27</v>
      </c>
      <c r="C9" s="11">
        <v>40</v>
      </c>
      <c r="D9" s="11">
        <v>1</v>
      </c>
      <c r="E9" s="6">
        <v>2000</v>
      </c>
      <c r="F9" s="6">
        <v>1000</v>
      </c>
      <c r="G9" s="6">
        <v>200</v>
      </c>
      <c r="H9" s="8">
        <f t="shared" ref="H9:H21" si="0">SUM(E9:G9)</f>
        <v>3200</v>
      </c>
      <c r="I9" s="6">
        <f t="shared" ref="I9:I21" si="1">E9*0.8</f>
        <v>1600</v>
      </c>
      <c r="J9" s="6">
        <f t="shared" ref="J9:J21" si="2">I9*0.025*-1</f>
        <v>-40</v>
      </c>
      <c r="K9" s="6">
        <f t="shared" ref="K9:K21" si="3">F9*0.7</f>
        <v>700</v>
      </c>
      <c r="L9" s="6">
        <f t="shared" ref="L9:L21" si="4">G9*0.5</f>
        <v>100</v>
      </c>
      <c r="M9" s="8">
        <f t="shared" ref="M9:M21" si="5">SUM(I9:L9)</f>
        <v>2360</v>
      </c>
      <c r="N9" s="12">
        <f t="shared" ref="N9:N21" si="6">H9-M9</f>
        <v>840</v>
      </c>
      <c r="O9" s="6">
        <f t="shared" ref="O9:O21" si="7">H9/D9</f>
        <v>3200</v>
      </c>
      <c r="P9" s="6">
        <f t="shared" ref="P9:P21" si="8">M9/D9</f>
        <v>2360</v>
      </c>
      <c r="Q9" s="6">
        <f t="shared" ref="Q9:Q21" si="9">N9/D9</f>
        <v>840</v>
      </c>
      <c r="R9" s="15">
        <f t="shared" ref="R9:R21" si="10">Q9/H9</f>
        <v>0.26250000000000001</v>
      </c>
    </row>
    <row r="10" spans="2:18" x14ac:dyDescent="0.3">
      <c r="B10" s="5" t="s">
        <v>28</v>
      </c>
      <c r="C10" s="11">
        <v>40</v>
      </c>
      <c r="D10" s="11">
        <v>1</v>
      </c>
      <c r="E10" s="6">
        <v>2000</v>
      </c>
      <c r="F10" s="6">
        <v>1000</v>
      </c>
      <c r="G10" s="6">
        <v>200</v>
      </c>
      <c r="H10" s="8">
        <f t="shared" si="0"/>
        <v>3200</v>
      </c>
      <c r="I10" s="6">
        <f t="shared" si="1"/>
        <v>1600</v>
      </c>
      <c r="J10" s="6">
        <f t="shared" si="2"/>
        <v>-40</v>
      </c>
      <c r="K10" s="6">
        <f t="shared" si="3"/>
        <v>700</v>
      </c>
      <c r="L10" s="6">
        <f t="shared" si="4"/>
        <v>100</v>
      </c>
      <c r="M10" s="8">
        <f t="shared" si="5"/>
        <v>2360</v>
      </c>
      <c r="N10" s="12">
        <f t="shared" si="6"/>
        <v>840</v>
      </c>
      <c r="O10" s="6">
        <f t="shared" si="7"/>
        <v>3200</v>
      </c>
      <c r="P10" s="6">
        <f t="shared" si="8"/>
        <v>2360</v>
      </c>
      <c r="Q10" s="6">
        <f t="shared" si="9"/>
        <v>840</v>
      </c>
      <c r="R10" s="15">
        <f t="shared" si="10"/>
        <v>0.26250000000000001</v>
      </c>
    </row>
    <row r="11" spans="2:18" x14ac:dyDescent="0.3">
      <c r="B11" s="5" t="s">
        <v>29</v>
      </c>
      <c r="C11" s="11">
        <v>20</v>
      </c>
      <c r="D11" s="11">
        <v>1</v>
      </c>
      <c r="E11" s="6">
        <v>2000</v>
      </c>
      <c r="F11" s="6">
        <v>1000</v>
      </c>
      <c r="G11" s="6">
        <v>200</v>
      </c>
      <c r="H11" s="8">
        <f t="shared" si="0"/>
        <v>3200</v>
      </c>
      <c r="I11" s="6">
        <f t="shared" si="1"/>
        <v>1600</v>
      </c>
      <c r="J11" s="6">
        <f t="shared" si="2"/>
        <v>-40</v>
      </c>
      <c r="K11" s="6">
        <f t="shared" si="3"/>
        <v>700</v>
      </c>
      <c r="L11" s="6">
        <f t="shared" si="4"/>
        <v>100</v>
      </c>
      <c r="M11" s="8">
        <f t="shared" si="5"/>
        <v>2360</v>
      </c>
      <c r="N11" s="12">
        <f t="shared" si="6"/>
        <v>840</v>
      </c>
      <c r="O11" s="6">
        <f t="shared" si="7"/>
        <v>3200</v>
      </c>
      <c r="P11" s="6">
        <f t="shared" si="8"/>
        <v>2360</v>
      </c>
      <c r="Q11" s="6">
        <f t="shared" si="9"/>
        <v>840</v>
      </c>
      <c r="R11" s="15">
        <f t="shared" si="10"/>
        <v>0.26250000000000001</v>
      </c>
    </row>
    <row r="12" spans="2:18" x14ac:dyDescent="0.3">
      <c r="B12" s="5" t="s">
        <v>30</v>
      </c>
      <c r="C12" s="11">
        <v>20</v>
      </c>
      <c r="D12" s="11">
        <v>2</v>
      </c>
      <c r="E12" s="6">
        <v>4000</v>
      </c>
      <c r="F12" s="6">
        <v>2000</v>
      </c>
      <c r="G12" s="6">
        <v>400</v>
      </c>
      <c r="H12" s="8">
        <f t="shared" si="0"/>
        <v>6400</v>
      </c>
      <c r="I12" s="6">
        <f t="shared" si="1"/>
        <v>3200</v>
      </c>
      <c r="J12" s="6">
        <f t="shared" si="2"/>
        <v>-80</v>
      </c>
      <c r="K12" s="6">
        <f t="shared" si="3"/>
        <v>1400</v>
      </c>
      <c r="L12" s="6">
        <f t="shared" si="4"/>
        <v>200</v>
      </c>
      <c r="M12" s="8">
        <f t="shared" si="5"/>
        <v>4720</v>
      </c>
      <c r="N12" s="12">
        <f t="shared" si="6"/>
        <v>1680</v>
      </c>
      <c r="O12" s="6">
        <f t="shared" si="7"/>
        <v>3200</v>
      </c>
      <c r="P12" s="6">
        <f t="shared" si="8"/>
        <v>2360</v>
      </c>
      <c r="Q12" s="6">
        <f t="shared" si="9"/>
        <v>840</v>
      </c>
      <c r="R12" s="15">
        <f t="shared" si="10"/>
        <v>0.13125000000000001</v>
      </c>
    </row>
    <row r="13" spans="2:18" x14ac:dyDescent="0.3">
      <c r="B13" s="5" t="s">
        <v>31</v>
      </c>
      <c r="C13" s="11">
        <v>40</v>
      </c>
      <c r="D13" s="11">
        <v>2</v>
      </c>
      <c r="E13" s="6">
        <v>2000</v>
      </c>
      <c r="F13" s="6">
        <v>1000</v>
      </c>
      <c r="G13" s="6">
        <v>200</v>
      </c>
      <c r="H13" s="8">
        <f t="shared" si="0"/>
        <v>3200</v>
      </c>
      <c r="I13" s="6">
        <f t="shared" si="1"/>
        <v>1600</v>
      </c>
      <c r="J13" s="6">
        <f t="shared" si="2"/>
        <v>-40</v>
      </c>
      <c r="K13" s="6">
        <f t="shared" si="3"/>
        <v>700</v>
      </c>
      <c r="L13" s="6">
        <f t="shared" si="4"/>
        <v>100</v>
      </c>
      <c r="M13" s="8">
        <f t="shared" si="5"/>
        <v>2360</v>
      </c>
      <c r="N13" s="12">
        <f t="shared" si="6"/>
        <v>840</v>
      </c>
      <c r="O13" s="6">
        <f t="shared" si="7"/>
        <v>1600</v>
      </c>
      <c r="P13" s="6">
        <f t="shared" si="8"/>
        <v>1180</v>
      </c>
      <c r="Q13" s="6">
        <f t="shared" si="9"/>
        <v>420</v>
      </c>
      <c r="R13" s="15">
        <f t="shared" si="10"/>
        <v>0.13125000000000001</v>
      </c>
    </row>
    <row r="14" spans="2:18" x14ac:dyDescent="0.3">
      <c r="B14" s="5" t="s">
        <v>32</v>
      </c>
      <c r="C14" s="11">
        <v>40</v>
      </c>
      <c r="D14" s="11">
        <v>1</v>
      </c>
      <c r="E14" s="6">
        <v>2000</v>
      </c>
      <c r="F14" s="6">
        <v>1000</v>
      </c>
      <c r="G14" s="6">
        <v>200</v>
      </c>
      <c r="H14" s="8">
        <f t="shared" si="0"/>
        <v>3200</v>
      </c>
      <c r="I14" s="6">
        <f t="shared" si="1"/>
        <v>1600</v>
      </c>
      <c r="J14" s="6">
        <f t="shared" si="2"/>
        <v>-40</v>
      </c>
      <c r="K14" s="6">
        <f t="shared" si="3"/>
        <v>700</v>
      </c>
      <c r="L14" s="6">
        <f t="shared" si="4"/>
        <v>100</v>
      </c>
      <c r="M14" s="8">
        <f t="shared" si="5"/>
        <v>2360</v>
      </c>
      <c r="N14" s="12">
        <f t="shared" si="6"/>
        <v>840</v>
      </c>
      <c r="O14" s="6">
        <f t="shared" si="7"/>
        <v>3200</v>
      </c>
      <c r="P14" s="6">
        <f t="shared" si="8"/>
        <v>2360</v>
      </c>
      <c r="Q14" s="6">
        <f t="shared" si="9"/>
        <v>840</v>
      </c>
      <c r="R14" s="15">
        <f t="shared" si="10"/>
        <v>0.26250000000000001</v>
      </c>
    </row>
    <row r="15" spans="2:18" x14ac:dyDescent="0.3">
      <c r="B15" s="5" t="s">
        <v>33</v>
      </c>
      <c r="C15" s="11">
        <v>20</v>
      </c>
      <c r="D15" s="11">
        <v>1</v>
      </c>
      <c r="E15" s="6">
        <v>2000</v>
      </c>
      <c r="F15" s="6">
        <v>1000</v>
      </c>
      <c r="G15" s="6">
        <v>200</v>
      </c>
      <c r="H15" s="8">
        <f t="shared" si="0"/>
        <v>3200</v>
      </c>
      <c r="I15" s="6">
        <f t="shared" si="1"/>
        <v>1600</v>
      </c>
      <c r="J15" s="6">
        <f t="shared" si="2"/>
        <v>-40</v>
      </c>
      <c r="K15" s="6">
        <f t="shared" si="3"/>
        <v>700</v>
      </c>
      <c r="L15" s="6">
        <f t="shared" si="4"/>
        <v>100</v>
      </c>
      <c r="M15" s="8">
        <f t="shared" si="5"/>
        <v>2360</v>
      </c>
      <c r="N15" s="12">
        <f t="shared" si="6"/>
        <v>840</v>
      </c>
      <c r="O15" s="6">
        <f t="shared" si="7"/>
        <v>3200</v>
      </c>
      <c r="P15" s="6">
        <f t="shared" si="8"/>
        <v>2360</v>
      </c>
      <c r="Q15" s="6">
        <f t="shared" si="9"/>
        <v>840</v>
      </c>
      <c r="R15" s="15">
        <f t="shared" si="10"/>
        <v>0.26250000000000001</v>
      </c>
    </row>
    <row r="16" spans="2:18" x14ac:dyDescent="0.3">
      <c r="B16" s="5" t="s">
        <v>34</v>
      </c>
      <c r="C16" s="11">
        <v>20</v>
      </c>
      <c r="D16" s="11">
        <v>1</v>
      </c>
      <c r="E16" s="6">
        <v>2000</v>
      </c>
      <c r="F16" s="6">
        <v>1000</v>
      </c>
      <c r="G16" s="6">
        <v>200</v>
      </c>
      <c r="H16" s="8">
        <f t="shared" si="0"/>
        <v>3200</v>
      </c>
      <c r="I16" s="6">
        <f t="shared" si="1"/>
        <v>1600</v>
      </c>
      <c r="J16" s="6">
        <f t="shared" si="2"/>
        <v>-40</v>
      </c>
      <c r="K16" s="6">
        <f t="shared" si="3"/>
        <v>700</v>
      </c>
      <c r="L16" s="6">
        <f t="shared" si="4"/>
        <v>100</v>
      </c>
      <c r="M16" s="8">
        <f t="shared" si="5"/>
        <v>2360</v>
      </c>
      <c r="N16" s="12">
        <f t="shared" si="6"/>
        <v>840</v>
      </c>
      <c r="O16" s="6">
        <f t="shared" si="7"/>
        <v>3200</v>
      </c>
      <c r="P16" s="6">
        <f t="shared" si="8"/>
        <v>2360</v>
      </c>
      <c r="Q16" s="6">
        <f t="shared" si="9"/>
        <v>840</v>
      </c>
      <c r="R16" s="15">
        <f t="shared" si="10"/>
        <v>0.26250000000000001</v>
      </c>
    </row>
    <row r="17" spans="2:18" x14ac:dyDescent="0.3">
      <c r="B17" s="5" t="s">
        <v>35</v>
      </c>
      <c r="C17" s="11">
        <v>40</v>
      </c>
      <c r="D17" s="11">
        <v>4</v>
      </c>
      <c r="E17" s="6">
        <v>10000</v>
      </c>
      <c r="F17" s="6">
        <v>4000</v>
      </c>
      <c r="G17" s="6">
        <v>1000</v>
      </c>
      <c r="H17" s="8">
        <f t="shared" si="0"/>
        <v>15000</v>
      </c>
      <c r="I17" s="6">
        <f t="shared" si="1"/>
        <v>8000</v>
      </c>
      <c r="J17" s="6">
        <f t="shared" si="2"/>
        <v>-200</v>
      </c>
      <c r="K17" s="6">
        <f t="shared" si="3"/>
        <v>2800</v>
      </c>
      <c r="L17" s="6">
        <f t="shared" si="4"/>
        <v>500</v>
      </c>
      <c r="M17" s="8">
        <f t="shared" si="5"/>
        <v>11100</v>
      </c>
      <c r="N17" s="12">
        <f t="shared" si="6"/>
        <v>3900</v>
      </c>
      <c r="O17" s="6">
        <f t="shared" si="7"/>
        <v>3750</v>
      </c>
      <c r="P17" s="6">
        <f t="shared" si="8"/>
        <v>2775</v>
      </c>
      <c r="Q17" s="6">
        <f t="shared" si="9"/>
        <v>975</v>
      </c>
      <c r="R17" s="15">
        <f t="shared" si="10"/>
        <v>6.5000000000000002E-2</v>
      </c>
    </row>
    <row r="18" spans="2:18" x14ac:dyDescent="0.3">
      <c r="B18" s="5" t="s">
        <v>36</v>
      </c>
      <c r="C18" s="11">
        <v>40</v>
      </c>
      <c r="D18" s="11">
        <v>1</v>
      </c>
      <c r="E18" s="6">
        <v>2000</v>
      </c>
      <c r="F18" s="6">
        <v>1000</v>
      </c>
      <c r="G18" s="6">
        <v>200</v>
      </c>
      <c r="H18" s="8">
        <f t="shared" si="0"/>
        <v>3200</v>
      </c>
      <c r="I18" s="6">
        <f t="shared" si="1"/>
        <v>1600</v>
      </c>
      <c r="J18" s="6">
        <f t="shared" si="2"/>
        <v>-40</v>
      </c>
      <c r="K18" s="6">
        <f t="shared" si="3"/>
        <v>700</v>
      </c>
      <c r="L18" s="6">
        <f t="shared" si="4"/>
        <v>100</v>
      </c>
      <c r="M18" s="8">
        <f t="shared" si="5"/>
        <v>2360</v>
      </c>
      <c r="N18" s="12">
        <f t="shared" si="6"/>
        <v>840</v>
      </c>
      <c r="O18" s="6">
        <f t="shared" si="7"/>
        <v>3200</v>
      </c>
      <c r="P18" s="6">
        <f t="shared" si="8"/>
        <v>2360</v>
      </c>
      <c r="Q18" s="6">
        <f t="shared" si="9"/>
        <v>840</v>
      </c>
      <c r="R18" s="15">
        <f t="shared" si="10"/>
        <v>0.26250000000000001</v>
      </c>
    </row>
    <row r="19" spans="2:18" x14ac:dyDescent="0.3">
      <c r="B19" s="5" t="s">
        <v>37</v>
      </c>
      <c r="C19" s="11">
        <v>20</v>
      </c>
      <c r="D19" s="11">
        <v>1</v>
      </c>
      <c r="E19" s="6">
        <v>2000</v>
      </c>
      <c r="F19" s="6">
        <v>1000</v>
      </c>
      <c r="G19" s="6">
        <v>200</v>
      </c>
      <c r="H19" s="8">
        <f t="shared" si="0"/>
        <v>3200</v>
      </c>
      <c r="I19" s="6">
        <f t="shared" si="1"/>
        <v>1600</v>
      </c>
      <c r="J19" s="6">
        <f t="shared" si="2"/>
        <v>-40</v>
      </c>
      <c r="K19" s="6">
        <f t="shared" si="3"/>
        <v>700</v>
      </c>
      <c r="L19" s="6">
        <f t="shared" si="4"/>
        <v>100</v>
      </c>
      <c r="M19" s="8">
        <f t="shared" si="5"/>
        <v>2360</v>
      </c>
      <c r="N19" s="12">
        <f t="shared" si="6"/>
        <v>840</v>
      </c>
      <c r="O19" s="6">
        <f t="shared" si="7"/>
        <v>3200</v>
      </c>
      <c r="P19" s="6">
        <f t="shared" si="8"/>
        <v>2360</v>
      </c>
      <c r="Q19" s="6">
        <f t="shared" si="9"/>
        <v>840</v>
      </c>
      <c r="R19" s="15">
        <f t="shared" si="10"/>
        <v>0.26250000000000001</v>
      </c>
    </row>
    <row r="20" spans="2:18" x14ac:dyDescent="0.3">
      <c r="B20" s="5" t="s">
        <v>38</v>
      </c>
      <c r="C20" s="11">
        <v>40</v>
      </c>
      <c r="D20" s="11">
        <v>1</v>
      </c>
      <c r="E20" s="6">
        <v>2000</v>
      </c>
      <c r="F20" s="6">
        <v>1000</v>
      </c>
      <c r="G20" s="6">
        <v>200</v>
      </c>
      <c r="H20" s="8">
        <f t="shared" si="0"/>
        <v>3200</v>
      </c>
      <c r="I20" s="6">
        <f t="shared" si="1"/>
        <v>1600</v>
      </c>
      <c r="J20" s="6">
        <f t="shared" si="2"/>
        <v>-40</v>
      </c>
      <c r="K20" s="6">
        <f t="shared" si="3"/>
        <v>700</v>
      </c>
      <c r="L20" s="6">
        <f t="shared" si="4"/>
        <v>100</v>
      </c>
      <c r="M20" s="8">
        <f t="shared" si="5"/>
        <v>2360</v>
      </c>
      <c r="N20" s="12">
        <f t="shared" si="6"/>
        <v>840</v>
      </c>
      <c r="O20" s="6">
        <f t="shared" si="7"/>
        <v>3200</v>
      </c>
      <c r="P20" s="6">
        <f t="shared" si="8"/>
        <v>2360</v>
      </c>
      <c r="Q20" s="6">
        <f t="shared" si="9"/>
        <v>840</v>
      </c>
      <c r="R20" s="15">
        <f t="shared" si="10"/>
        <v>0.26250000000000001</v>
      </c>
    </row>
    <row r="21" spans="2:18" x14ac:dyDescent="0.3">
      <c r="B21" s="5" t="s">
        <v>39</v>
      </c>
      <c r="C21" s="11">
        <v>20</v>
      </c>
      <c r="D21" s="11">
        <v>1</v>
      </c>
      <c r="E21" s="6">
        <v>2000</v>
      </c>
      <c r="F21" s="6">
        <v>1000</v>
      </c>
      <c r="G21" s="6">
        <v>200</v>
      </c>
      <c r="H21" s="8">
        <f t="shared" si="0"/>
        <v>3200</v>
      </c>
      <c r="I21" s="6">
        <f t="shared" si="1"/>
        <v>1600</v>
      </c>
      <c r="J21" s="6">
        <f t="shared" si="2"/>
        <v>-40</v>
      </c>
      <c r="K21" s="6">
        <f t="shared" si="3"/>
        <v>700</v>
      </c>
      <c r="L21" s="6">
        <f t="shared" si="4"/>
        <v>100</v>
      </c>
      <c r="M21" s="8">
        <f t="shared" si="5"/>
        <v>2360</v>
      </c>
      <c r="N21" s="12">
        <f t="shared" si="6"/>
        <v>840</v>
      </c>
      <c r="O21" s="6">
        <f t="shared" si="7"/>
        <v>3200</v>
      </c>
      <c r="P21" s="6">
        <f t="shared" si="8"/>
        <v>2360</v>
      </c>
      <c r="Q21" s="6">
        <f t="shared" si="9"/>
        <v>840</v>
      </c>
      <c r="R21" s="15">
        <f t="shared" si="10"/>
        <v>0.26250000000000001</v>
      </c>
    </row>
    <row r="22" spans="2:18" x14ac:dyDescent="0.3">
      <c r="B22" s="13" t="s">
        <v>44</v>
      </c>
      <c r="C22" s="14" t="str">
        <f>C4</f>
        <v>BHOPAL</v>
      </c>
      <c r="D22" s="14">
        <f>SUM(D8:D21)</f>
        <v>19</v>
      </c>
      <c r="E22" s="14">
        <f t="shared" ref="E22:N22" si="11">SUM(E8:E21)</f>
        <v>38000</v>
      </c>
      <c r="F22" s="14">
        <f t="shared" si="11"/>
        <v>18000</v>
      </c>
      <c r="G22" s="14">
        <f t="shared" si="11"/>
        <v>3800</v>
      </c>
      <c r="H22" s="14">
        <f t="shared" si="11"/>
        <v>59800</v>
      </c>
      <c r="I22" s="14">
        <f t="shared" si="11"/>
        <v>30400</v>
      </c>
      <c r="J22" s="14">
        <f t="shared" si="11"/>
        <v>-760</v>
      </c>
      <c r="K22" s="14">
        <f t="shared" si="11"/>
        <v>12600</v>
      </c>
      <c r="L22" s="14">
        <f t="shared" si="11"/>
        <v>1900</v>
      </c>
      <c r="M22" s="14">
        <f t="shared" si="11"/>
        <v>44140</v>
      </c>
      <c r="N22" s="17">
        <f t="shared" si="11"/>
        <v>15660</v>
      </c>
      <c r="O22" s="14">
        <f>H22/D22</f>
        <v>3147.3684210526317</v>
      </c>
      <c r="P22" s="14">
        <f>M22/D22</f>
        <v>2323.1578947368421</v>
      </c>
      <c r="Q22" s="14">
        <f>N22/D22</f>
        <v>824.21052631578948</v>
      </c>
      <c r="R22" s="16">
        <f>Q22/O22</f>
        <v>0.26187290969899663</v>
      </c>
    </row>
    <row r="25" spans="2:18" ht="18" thickBot="1" x14ac:dyDescent="0.4">
      <c r="B25" s="1" t="s">
        <v>0</v>
      </c>
      <c r="C25" s="1"/>
      <c r="D25" s="1"/>
      <c r="E25" s="1"/>
      <c r="F25" s="1"/>
    </row>
    <row r="26" spans="2:18" ht="15" thickTop="1" x14ac:dyDescent="0.3"/>
    <row r="27" spans="2:18" x14ac:dyDescent="0.3">
      <c r="B27" s="9" t="s">
        <v>1</v>
      </c>
      <c r="C27" s="9" t="s">
        <v>45</v>
      </c>
      <c r="D27" s="9" t="s">
        <v>2</v>
      </c>
      <c r="E27" s="9">
        <v>1</v>
      </c>
      <c r="F27" s="9" t="s">
        <v>3</v>
      </c>
      <c r="G27" s="9">
        <v>5</v>
      </c>
      <c r="H27" s="9"/>
      <c r="I27" s="9" t="s">
        <v>4</v>
      </c>
      <c r="J27" s="10">
        <v>43101</v>
      </c>
      <c r="K27" s="9" t="s">
        <v>5</v>
      </c>
      <c r="L27" s="10">
        <v>43101</v>
      </c>
      <c r="M27" s="9" t="s">
        <v>42</v>
      </c>
      <c r="N27" s="10" t="s">
        <v>43</v>
      </c>
      <c r="O27" s="9" t="s">
        <v>13</v>
      </c>
      <c r="P27" s="10" t="s">
        <v>13</v>
      </c>
    </row>
    <row r="28" spans="2:18" x14ac:dyDescent="0.3">
      <c r="K28" t="s">
        <v>13</v>
      </c>
    </row>
    <row r="29" spans="2:18" x14ac:dyDescent="0.3">
      <c r="B29" s="3" t="s">
        <v>6</v>
      </c>
      <c r="C29" s="4" t="s">
        <v>7</v>
      </c>
      <c r="D29" s="4" t="s">
        <v>8</v>
      </c>
      <c r="E29" s="4" t="s">
        <v>9</v>
      </c>
      <c r="F29" s="4" t="s">
        <v>10</v>
      </c>
      <c r="G29" s="4" t="s">
        <v>11</v>
      </c>
      <c r="H29" s="4" t="s">
        <v>16</v>
      </c>
      <c r="I29" s="4" t="s">
        <v>9</v>
      </c>
      <c r="J29" s="4" t="s">
        <v>14</v>
      </c>
      <c r="K29" s="4" t="s">
        <v>10</v>
      </c>
      <c r="L29" s="4" t="s">
        <v>11</v>
      </c>
      <c r="M29" s="4" t="s">
        <v>18</v>
      </c>
      <c r="N29" s="4" t="s">
        <v>16</v>
      </c>
      <c r="O29" s="4" t="s">
        <v>21</v>
      </c>
      <c r="P29" s="4" t="s">
        <v>23</v>
      </c>
      <c r="Q29" s="4" t="s">
        <v>24</v>
      </c>
      <c r="R29" s="4" t="s">
        <v>40</v>
      </c>
    </row>
    <row r="30" spans="2:18" x14ac:dyDescent="0.3">
      <c r="B30" s="3"/>
      <c r="C30" s="4"/>
      <c r="D30" s="4"/>
      <c r="E30" s="4" t="s">
        <v>12</v>
      </c>
      <c r="F30" s="4" t="s">
        <v>12</v>
      </c>
      <c r="G30" s="4" t="s">
        <v>12</v>
      </c>
      <c r="H30" s="4" t="s">
        <v>17</v>
      </c>
      <c r="I30" s="4" t="s">
        <v>15</v>
      </c>
      <c r="J30" s="4" t="s">
        <v>19</v>
      </c>
      <c r="K30" s="4" t="s">
        <v>15</v>
      </c>
      <c r="L30" s="4" t="s">
        <v>15</v>
      </c>
      <c r="M30" s="4" t="s">
        <v>15</v>
      </c>
      <c r="N30" s="4" t="s">
        <v>20</v>
      </c>
      <c r="O30" s="4" t="s">
        <v>22</v>
      </c>
      <c r="P30" s="4" t="s">
        <v>22</v>
      </c>
      <c r="Q30" s="4" t="s">
        <v>22</v>
      </c>
      <c r="R30" s="4" t="s">
        <v>41</v>
      </c>
    </row>
    <row r="31" spans="2:18" x14ac:dyDescent="0.3">
      <c r="B31" s="5" t="s">
        <v>46</v>
      </c>
      <c r="C31" s="11">
        <v>20</v>
      </c>
      <c r="D31" s="11">
        <v>1</v>
      </c>
      <c r="E31" s="6">
        <v>2000</v>
      </c>
      <c r="F31" s="6">
        <v>1000</v>
      </c>
      <c r="G31" s="6">
        <v>200</v>
      </c>
      <c r="H31" s="8">
        <f>SUM(E31:G31)</f>
        <v>3200</v>
      </c>
      <c r="I31" s="6">
        <f>E31*0.8</f>
        <v>1600</v>
      </c>
      <c r="J31" s="6">
        <f>I31*0.025*-1</f>
        <v>-40</v>
      </c>
      <c r="K31" s="6">
        <f>F31*0.7</f>
        <v>700</v>
      </c>
      <c r="L31" s="6">
        <f>G31*0.5</f>
        <v>100</v>
      </c>
      <c r="M31" s="8">
        <f>SUM(I31:L31)</f>
        <v>2360</v>
      </c>
      <c r="N31" s="12">
        <f>H31-M31</f>
        <v>840</v>
      </c>
      <c r="O31" s="6">
        <f>H31/D31</f>
        <v>3200</v>
      </c>
      <c r="P31" s="6">
        <f>M31/D31</f>
        <v>2360</v>
      </c>
      <c r="Q31" s="6">
        <f>N31/D31</f>
        <v>840</v>
      </c>
      <c r="R31" s="15">
        <f>Q31/H31</f>
        <v>0.26250000000000001</v>
      </c>
    </row>
    <row r="32" spans="2:18" x14ac:dyDescent="0.3">
      <c r="B32" s="5" t="s">
        <v>47</v>
      </c>
      <c r="C32" s="11">
        <v>40</v>
      </c>
      <c r="D32" s="11">
        <v>1</v>
      </c>
      <c r="E32" s="6">
        <v>2000</v>
      </c>
      <c r="F32" s="6">
        <v>1000</v>
      </c>
      <c r="G32" s="6">
        <v>200</v>
      </c>
      <c r="H32" s="8">
        <f t="shared" ref="H32:H44" si="12">SUM(E32:G32)</f>
        <v>3200</v>
      </c>
      <c r="I32" s="6">
        <f t="shared" ref="I32:I44" si="13">E32*0.8</f>
        <v>1600</v>
      </c>
      <c r="J32" s="6">
        <f t="shared" ref="J32:J44" si="14">I32*0.025*-1</f>
        <v>-40</v>
      </c>
      <c r="K32" s="6">
        <f t="shared" ref="K32:K44" si="15">F32*0.7</f>
        <v>700</v>
      </c>
      <c r="L32" s="6">
        <f t="shared" ref="L32:L44" si="16">G32*0.5</f>
        <v>100</v>
      </c>
      <c r="M32" s="8">
        <f t="shared" ref="M32:M44" si="17">SUM(I32:L32)</f>
        <v>2360</v>
      </c>
      <c r="N32" s="12">
        <f t="shared" ref="N32:N44" si="18">H32-M32</f>
        <v>840</v>
      </c>
      <c r="O32" s="6">
        <f t="shared" ref="O32:O44" si="19">H32/D32</f>
        <v>3200</v>
      </c>
      <c r="P32" s="6">
        <f t="shared" ref="P32:P44" si="20">M32/D32</f>
        <v>2360</v>
      </c>
      <c r="Q32" s="6">
        <f t="shared" ref="Q32:Q44" si="21">N32/D32</f>
        <v>840</v>
      </c>
      <c r="R32" s="15">
        <f t="shared" ref="R32:R44" si="22">Q32/H32</f>
        <v>0.26250000000000001</v>
      </c>
    </row>
    <row r="33" spans="2:18" x14ac:dyDescent="0.3">
      <c r="B33" s="5" t="s">
        <v>48</v>
      </c>
      <c r="C33" s="11">
        <v>40</v>
      </c>
      <c r="D33" s="11">
        <v>1</v>
      </c>
      <c r="E33" s="6">
        <v>2000</v>
      </c>
      <c r="F33" s="6">
        <v>1000</v>
      </c>
      <c r="G33" s="6">
        <v>200</v>
      </c>
      <c r="H33" s="8">
        <f t="shared" si="12"/>
        <v>3200</v>
      </c>
      <c r="I33" s="6">
        <f t="shared" si="13"/>
        <v>1600</v>
      </c>
      <c r="J33" s="6">
        <f t="shared" si="14"/>
        <v>-40</v>
      </c>
      <c r="K33" s="6">
        <f t="shared" si="15"/>
        <v>700</v>
      </c>
      <c r="L33" s="6">
        <f t="shared" si="16"/>
        <v>100</v>
      </c>
      <c r="M33" s="8">
        <f t="shared" si="17"/>
        <v>2360</v>
      </c>
      <c r="N33" s="12">
        <f t="shared" si="18"/>
        <v>840</v>
      </c>
      <c r="O33" s="6">
        <f t="shared" si="19"/>
        <v>3200</v>
      </c>
      <c r="P33" s="6">
        <f t="shared" si="20"/>
        <v>2360</v>
      </c>
      <c r="Q33" s="6">
        <f t="shared" si="21"/>
        <v>840</v>
      </c>
      <c r="R33" s="15">
        <f t="shared" si="22"/>
        <v>0.26250000000000001</v>
      </c>
    </row>
    <row r="34" spans="2:18" x14ac:dyDescent="0.3">
      <c r="B34" s="5" t="s">
        <v>49</v>
      </c>
      <c r="C34" s="11">
        <v>20</v>
      </c>
      <c r="D34" s="11">
        <v>1</v>
      </c>
      <c r="E34" s="6">
        <v>2000</v>
      </c>
      <c r="F34" s="6">
        <v>1000</v>
      </c>
      <c r="G34" s="6">
        <v>200</v>
      </c>
      <c r="H34" s="8">
        <f t="shared" si="12"/>
        <v>3200</v>
      </c>
      <c r="I34" s="6">
        <f t="shared" si="13"/>
        <v>1600</v>
      </c>
      <c r="J34" s="6">
        <f t="shared" si="14"/>
        <v>-40</v>
      </c>
      <c r="K34" s="6">
        <f t="shared" si="15"/>
        <v>700</v>
      </c>
      <c r="L34" s="6">
        <f t="shared" si="16"/>
        <v>100</v>
      </c>
      <c r="M34" s="8">
        <f t="shared" si="17"/>
        <v>2360</v>
      </c>
      <c r="N34" s="12">
        <f t="shared" si="18"/>
        <v>840</v>
      </c>
      <c r="O34" s="6">
        <f t="shared" si="19"/>
        <v>3200</v>
      </c>
      <c r="P34" s="6">
        <f t="shared" si="20"/>
        <v>2360</v>
      </c>
      <c r="Q34" s="6">
        <f t="shared" si="21"/>
        <v>840</v>
      </c>
      <c r="R34" s="15">
        <f t="shared" si="22"/>
        <v>0.26250000000000001</v>
      </c>
    </row>
    <row r="35" spans="2:18" x14ac:dyDescent="0.3">
      <c r="B35" s="5" t="s">
        <v>50</v>
      </c>
      <c r="C35" s="11">
        <v>20</v>
      </c>
      <c r="D35" s="11">
        <v>2</v>
      </c>
      <c r="E35" s="6">
        <v>4000</v>
      </c>
      <c r="F35" s="6">
        <v>2000</v>
      </c>
      <c r="G35" s="6">
        <v>400</v>
      </c>
      <c r="H35" s="8">
        <f t="shared" si="12"/>
        <v>6400</v>
      </c>
      <c r="I35" s="6">
        <f t="shared" si="13"/>
        <v>3200</v>
      </c>
      <c r="J35" s="6">
        <f t="shared" si="14"/>
        <v>-80</v>
      </c>
      <c r="K35" s="6">
        <f t="shared" si="15"/>
        <v>1400</v>
      </c>
      <c r="L35" s="6">
        <f t="shared" si="16"/>
        <v>200</v>
      </c>
      <c r="M35" s="8">
        <f t="shared" si="17"/>
        <v>4720</v>
      </c>
      <c r="N35" s="12">
        <f t="shared" si="18"/>
        <v>1680</v>
      </c>
      <c r="O35" s="6">
        <f t="shared" si="19"/>
        <v>3200</v>
      </c>
      <c r="P35" s="6">
        <f t="shared" si="20"/>
        <v>2360</v>
      </c>
      <c r="Q35" s="6">
        <f t="shared" si="21"/>
        <v>840</v>
      </c>
      <c r="R35" s="15">
        <f t="shared" si="22"/>
        <v>0.13125000000000001</v>
      </c>
    </row>
    <row r="36" spans="2:18" x14ac:dyDescent="0.3">
      <c r="B36" s="5" t="s">
        <v>51</v>
      </c>
      <c r="C36" s="11">
        <v>40</v>
      </c>
      <c r="D36" s="11">
        <v>2</v>
      </c>
      <c r="E36" s="6">
        <v>2000</v>
      </c>
      <c r="F36" s="6">
        <v>1000</v>
      </c>
      <c r="G36" s="6">
        <v>200</v>
      </c>
      <c r="H36" s="8">
        <f t="shared" si="12"/>
        <v>3200</v>
      </c>
      <c r="I36" s="6">
        <f t="shared" si="13"/>
        <v>1600</v>
      </c>
      <c r="J36" s="6">
        <f t="shared" si="14"/>
        <v>-40</v>
      </c>
      <c r="K36" s="6">
        <f t="shared" si="15"/>
        <v>700</v>
      </c>
      <c r="L36" s="6">
        <f t="shared" si="16"/>
        <v>100</v>
      </c>
      <c r="M36" s="8">
        <f t="shared" si="17"/>
        <v>2360</v>
      </c>
      <c r="N36" s="12">
        <f t="shared" si="18"/>
        <v>840</v>
      </c>
      <c r="O36" s="6">
        <f t="shared" si="19"/>
        <v>1600</v>
      </c>
      <c r="P36" s="6">
        <f t="shared" si="20"/>
        <v>1180</v>
      </c>
      <c r="Q36" s="6">
        <f t="shared" si="21"/>
        <v>420</v>
      </c>
      <c r="R36" s="15">
        <f t="shared" si="22"/>
        <v>0.13125000000000001</v>
      </c>
    </row>
    <row r="37" spans="2:18" x14ac:dyDescent="0.3">
      <c r="B37" s="5" t="s">
        <v>52</v>
      </c>
      <c r="C37" s="11">
        <v>40</v>
      </c>
      <c r="D37" s="11">
        <v>1</v>
      </c>
      <c r="E37" s="6">
        <v>2000</v>
      </c>
      <c r="F37" s="6">
        <v>1000</v>
      </c>
      <c r="G37" s="6">
        <v>200</v>
      </c>
      <c r="H37" s="8">
        <f t="shared" si="12"/>
        <v>3200</v>
      </c>
      <c r="I37" s="6">
        <f t="shared" si="13"/>
        <v>1600</v>
      </c>
      <c r="J37" s="6">
        <f t="shared" si="14"/>
        <v>-40</v>
      </c>
      <c r="K37" s="6">
        <f t="shared" si="15"/>
        <v>700</v>
      </c>
      <c r="L37" s="6">
        <f t="shared" si="16"/>
        <v>100</v>
      </c>
      <c r="M37" s="8">
        <f t="shared" si="17"/>
        <v>2360</v>
      </c>
      <c r="N37" s="12">
        <f t="shared" si="18"/>
        <v>840</v>
      </c>
      <c r="O37" s="6">
        <f t="shared" si="19"/>
        <v>3200</v>
      </c>
      <c r="P37" s="6">
        <f t="shared" si="20"/>
        <v>2360</v>
      </c>
      <c r="Q37" s="6">
        <f t="shared" si="21"/>
        <v>840</v>
      </c>
      <c r="R37" s="15">
        <f t="shared" si="22"/>
        <v>0.26250000000000001</v>
      </c>
    </row>
    <row r="38" spans="2:18" x14ac:dyDescent="0.3">
      <c r="B38" s="5" t="s">
        <v>53</v>
      </c>
      <c r="C38" s="11">
        <v>20</v>
      </c>
      <c r="D38" s="11">
        <v>1</v>
      </c>
      <c r="E38" s="6">
        <v>2000</v>
      </c>
      <c r="F38" s="6">
        <v>1000</v>
      </c>
      <c r="G38" s="6">
        <v>200</v>
      </c>
      <c r="H38" s="8">
        <f t="shared" si="12"/>
        <v>3200</v>
      </c>
      <c r="I38" s="6">
        <f t="shared" si="13"/>
        <v>1600</v>
      </c>
      <c r="J38" s="6">
        <f t="shared" si="14"/>
        <v>-40</v>
      </c>
      <c r="K38" s="6">
        <f t="shared" si="15"/>
        <v>700</v>
      </c>
      <c r="L38" s="6">
        <f t="shared" si="16"/>
        <v>100</v>
      </c>
      <c r="M38" s="8">
        <f t="shared" si="17"/>
        <v>2360</v>
      </c>
      <c r="N38" s="12">
        <f t="shared" si="18"/>
        <v>840</v>
      </c>
      <c r="O38" s="6">
        <f t="shared" si="19"/>
        <v>3200</v>
      </c>
      <c r="P38" s="6">
        <f t="shared" si="20"/>
        <v>2360</v>
      </c>
      <c r="Q38" s="6">
        <f t="shared" si="21"/>
        <v>840</v>
      </c>
      <c r="R38" s="15">
        <f t="shared" si="22"/>
        <v>0.26250000000000001</v>
      </c>
    </row>
    <row r="39" spans="2:18" x14ac:dyDescent="0.3">
      <c r="B39" s="5" t="s">
        <v>54</v>
      </c>
      <c r="C39" s="11">
        <v>20</v>
      </c>
      <c r="D39" s="11">
        <v>1</v>
      </c>
      <c r="E39" s="6">
        <v>2000</v>
      </c>
      <c r="F39" s="6">
        <v>1000</v>
      </c>
      <c r="G39" s="6">
        <v>200</v>
      </c>
      <c r="H39" s="8">
        <f t="shared" si="12"/>
        <v>3200</v>
      </c>
      <c r="I39" s="6">
        <f t="shared" si="13"/>
        <v>1600</v>
      </c>
      <c r="J39" s="6">
        <f t="shared" si="14"/>
        <v>-40</v>
      </c>
      <c r="K39" s="6">
        <f t="shared" si="15"/>
        <v>700</v>
      </c>
      <c r="L39" s="6">
        <f t="shared" si="16"/>
        <v>100</v>
      </c>
      <c r="M39" s="8">
        <f t="shared" si="17"/>
        <v>2360</v>
      </c>
      <c r="N39" s="12">
        <f t="shared" si="18"/>
        <v>840</v>
      </c>
      <c r="O39" s="6">
        <f t="shared" si="19"/>
        <v>3200</v>
      </c>
      <c r="P39" s="6">
        <f t="shared" si="20"/>
        <v>2360</v>
      </c>
      <c r="Q39" s="6">
        <f t="shared" si="21"/>
        <v>840</v>
      </c>
      <c r="R39" s="15">
        <f t="shared" si="22"/>
        <v>0.26250000000000001</v>
      </c>
    </row>
    <row r="40" spans="2:18" x14ac:dyDescent="0.3">
      <c r="B40" s="5" t="s">
        <v>55</v>
      </c>
      <c r="C40" s="11">
        <v>40</v>
      </c>
      <c r="D40" s="11">
        <v>4</v>
      </c>
      <c r="E40" s="6">
        <v>10000</v>
      </c>
      <c r="F40" s="6">
        <v>4000</v>
      </c>
      <c r="G40" s="6">
        <v>1000</v>
      </c>
      <c r="H40" s="8">
        <f t="shared" si="12"/>
        <v>15000</v>
      </c>
      <c r="I40" s="6">
        <f t="shared" si="13"/>
        <v>8000</v>
      </c>
      <c r="J40" s="6">
        <f t="shared" si="14"/>
        <v>-200</v>
      </c>
      <c r="K40" s="6">
        <f t="shared" si="15"/>
        <v>2800</v>
      </c>
      <c r="L40" s="6">
        <f t="shared" si="16"/>
        <v>500</v>
      </c>
      <c r="M40" s="8">
        <f t="shared" si="17"/>
        <v>11100</v>
      </c>
      <c r="N40" s="12">
        <f t="shared" si="18"/>
        <v>3900</v>
      </c>
      <c r="O40" s="6">
        <f t="shared" si="19"/>
        <v>3750</v>
      </c>
      <c r="P40" s="6">
        <f t="shared" si="20"/>
        <v>2775</v>
      </c>
      <c r="Q40" s="6">
        <f t="shared" si="21"/>
        <v>975</v>
      </c>
      <c r="R40" s="15">
        <f t="shared" si="22"/>
        <v>6.5000000000000002E-2</v>
      </c>
    </row>
    <row r="41" spans="2:18" x14ac:dyDescent="0.3">
      <c r="B41" s="5" t="s">
        <v>56</v>
      </c>
      <c r="C41" s="11">
        <v>40</v>
      </c>
      <c r="D41" s="11">
        <v>1</v>
      </c>
      <c r="E41" s="6">
        <v>2000</v>
      </c>
      <c r="F41" s="6">
        <v>1000</v>
      </c>
      <c r="G41" s="6">
        <v>200</v>
      </c>
      <c r="H41" s="8">
        <f t="shared" si="12"/>
        <v>3200</v>
      </c>
      <c r="I41" s="6">
        <f t="shared" si="13"/>
        <v>1600</v>
      </c>
      <c r="J41" s="6">
        <f t="shared" si="14"/>
        <v>-40</v>
      </c>
      <c r="K41" s="6">
        <f t="shared" si="15"/>
        <v>700</v>
      </c>
      <c r="L41" s="6">
        <f t="shared" si="16"/>
        <v>100</v>
      </c>
      <c r="M41" s="8">
        <f t="shared" si="17"/>
        <v>2360</v>
      </c>
      <c r="N41" s="12">
        <f t="shared" si="18"/>
        <v>840</v>
      </c>
      <c r="O41" s="6">
        <f t="shared" si="19"/>
        <v>3200</v>
      </c>
      <c r="P41" s="6">
        <f t="shared" si="20"/>
        <v>2360</v>
      </c>
      <c r="Q41" s="6">
        <f t="shared" si="21"/>
        <v>840</v>
      </c>
      <c r="R41" s="15">
        <f t="shared" si="22"/>
        <v>0.26250000000000001</v>
      </c>
    </row>
    <row r="42" spans="2:18" x14ac:dyDescent="0.3">
      <c r="B42" s="5" t="s">
        <v>57</v>
      </c>
      <c r="C42" s="11">
        <v>20</v>
      </c>
      <c r="D42" s="11">
        <v>1</v>
      </c>
      <c r="E42" s="6">
        <v>2000</v>
      </c>
      <c r="F42" s="6">
        <v>1000</v>
      </c>
      <c r="G42" s="6">
        <v>200</v>
      </c>
      <c r="H42" s="8">
        <f t="shared" si="12"/>
        <v>3200</v>
      </c>
      <c r="I42" s="6">
        <f t="shared" si="13"/>
        <v>1600</v>
      </c>
      <c r="J42" s="6">
        <f t="shared" si="14"/>
        <v>-40</v>
      </c>
      <c r="K42" s="6">
        <f t="shared" si="15"/>
        <v>700</v>
      </c>
      <c r="L42" s="6">
        <f t="shared" si="16"/>
        <v>100</v>
      </c>
      <c r="M42" s="8">
        <f t="shared" si="17"/>
        <v>2360</v>
      </c>
      <c r="N42" s="12">
        <f t="shared" si="18"/>
        <v>840</v>
      </c>
      <c r="O42" s="6">
        <f t="shared" si="19"/>
        <v>3200</v>
      </c>
      <c r="P42" s="6">
        <f t="shared" si="20"/>
        <v>2360</v>
      </c>
      <c r="Q42" s="6">
        <f t="shared" si="21"/>
        <v>840</v>
      </c>
      <c r="R42" s="15">
        <f t="shared" si="22"/>
        <v>0.26250000000000001</v>
      </c>
    </row>
    <row r="43" spans="2:18" x14ac:dyDescent="0.3">
      <c r="B43" s="5" t="s">
        <v>58</v>
      </c>
      <c r="C43" s="11">
        <v>40</v>
      </c>
      <c r="D43" s="11">
        <v>1</v>
      </c>
      <c r="E43" s="6">
        <v>2000</v>
      </c>
      <c r="F43" s="6">
        <v>1000</v>
      </c>
      <c r="G43" s="6">
        <v>200</v>
      </c>
      <c r="H43" s="8">
        <f t="shared" si="12"/>
        <v>3200</v>
      </c>
      <c r="I43" s="6">
        <f t="shared" si="13"/>
        <v>1600</v>
      </c>
      <c r="J43" s="6">
        <f t="shared" si="14"/>
        <v>-40</v>
      </c>
      <c r="K43" s="6">
        <f t="shared" si="15"/>
        <v>700</v>
      </c>
      <c r="L43" s="6">
        <f t="shared" si="16"/>
        <v>100</v>
      </c>
      <c r="M43" s="8">
        <f t="shared" si="17"/>
        <v>2360</v>
      </c>
      <c r="N43" s="12">
        <f t="shared" si="18"/>
        <v>840</v>
      </c>
      <c r="O43" s="6">
        <f t="shared" si="19"/>
        <v>3200</v>
      </c>
      <c r="P43" s="6">
        <f t="shared" si="20"/>
        <v>2360</v>
      </c>
      <c r="Q43" s="6">
        <f t="shared" si="21"/>
        <v>840</v>
      </c>
      <c r="R43" s="15">
        <f t="shared" si="22"/>
        <v>0.26250000000000001</v>
      </c>
    </row>
    <row r="44" spans="2:18" x14ac:dyDescent="0.3">
      <c r="B44" s="5" t="s">
        <v>59</v>
      </c>
      <c r="C44" s="11">
        <v>20</v>
      </c>
      <c r="D44" s="11">
        <v>1</v>
      </c>
      <c r="E44" s="6">
        <v>2000</v>
      </c>
      <c r="F44" s="6">
        <v>1000</v>
      </c>
      <c r="G44" s="6">
        <v>200</v>
      </c>
      <c r="H44" s="8">
        <f t="shared" si="12"/>
        <v>3200</v>
      </c>
      <c r="I44" s="6">
        <f t="shared" si="13"/>
        <v>1600</v>
      </c>
      <c r="J44" s="6">
        <f t="shared" si="14"/>
        <v>-40</v>
      </c>
      <c r="K44" s="6">
        <f t="shared" si="15"/>
        <v>700</v>
      </c>
      <c r="L44" s="6">
        <f t="shared" si="16"/>
        <v>100</v>
      </c>
      <c r="M44" s="8">
        <f t="shared" si="17"/>
        <v>2360</v>
      </c>
      <c r="N44" s="12">
        <f t="shared" si="18"/>
        <v>840</v>
      </c>
      <c r="O44" s="6">
        <f t="shared" si="19"/>
        <v>3200</v>
      </c>
      <c r="P44" s="6">
        <f t="shared" si="20"/>
        <v>2360</v>
      </c>
      <c r="Q44" s="6">
        <f t="shared" si="21"/>
        <v>840</v>
      </c>
      <c r="R44" s="15">
        <f t="shared" si="22"/>
        <v>0.26250000000000001</v>
      </c>
    </row>
    <row r="45" spans="2:18" x14ac:dyDescent="0.3">
      <c r="B45" s="13" t="s">
        <v>44</v>
      </c>
      <c r="C45" s="14" t="str">
        <f>C27</f>
        <v>DELHI</v>
      </c>
      <c r="D45" s="14">
        <f>SUM(D31:D44)</f>
        <v>19</v>
      </c>
      <c r="E45" s="14">
        <f t="shared" ref="E45" si="23">SUM(E31:E44)</f>
        <v>38000</v>
      </c>
      <c r="F45" s="14">
        <f t="shared" ref="F45" si="24">SUM(F31:F44)</f>
        <v>18000</v>
      </c>
      <c r="G45" s="14">
        <f t="shared" ref="G45" si="25">SUM(G31:G44)</f>
        <v>3800</v>
      </c>
      <c r="H45" s="14">
        <f t="shared" ref="H45" si="26">SUM(H31:H44)</f>
        <v>59800</v>
      </c>
      <c r="I45" s="14">
        <f t="shared" ref="I45" si="27">SUM(I31:I44)</f>
        <v>30400</v>
      </c>
      <c r="J45" s="14">
        <f t="shared" ref="J45" si="28">SUM(J31:J44)</f>
        <v>-760</v>
      </c>
      <c r="K45" s="14">
        <f t="shared" ref="K45" si="29">SUM(K31:K44)</f>
        <v>12600</v>
      </c>
      <c r="L45" s="14">
        <f t="shared" ref="L45" si="30">SUM(L31:L44)</f>
        <v>1900</v>
      </c>
      <c r="M45" s="14">
        <f t="shared" ref="M45" si="31">SUM(M31:M44)</f>
        <v>44140</v>
      </c>
      <c r="N45" s="17">
        <f t="shared" ref="N45" si="32">SUM(N31:N44)</f>
        <v>15660</v>
      </c>
      <c r="O45" s="14">
        <f>H45/D45</f>
        <v>3147.3684210526317</v>
      </c>
      <c r="P45" s="14">
        <f>M45/D45</f>
        <v>2323.1578947368421</v>
      </c>
      <c r="Q45" s="14">
        <f>N45/D45</f>
        <v>824.21052631578948</v>
      </c>
      <c r="R45" s="16">
        <f>Q45/O45</f>
        <v>0.26187290969899663</v>
      </c>
    </row>
    <row r="48" spans="2:18" x14ac:dyDescent="0.3">
      <c r="B48" s="9" t="s">
        <v>1</v>
      </c>
      <c r="C48" s="9" t="s">
        <v>60</v>
      </c>
      <c r="D48" s="9" t="s">
        <v>2</v>
      </c>
      <c r="E48" s="9">
        <v>1</v>
      </c>
      <c r="F48" s="9" t="s">
        <v>3</v>
      </c>
      <c r="G48" s="9">
        <v>5</v>
      </c>
      <c r="H48" s="9"/>
      <c r="I48" s="9" t="s">
        <v>4</v>
      </c>
      <c r="J48" s="10">
        <v>43101</v>
      </c>
      <c r="K48" s="9" t="s">
        <v>5</v>
      </c>
      <c r="L48" s="10">
        <v>43101</v>
      </c>
      <c r="M48" s="9" t="s">
        <v>42</v>
      </c>
      <c r="N48" s="10" t="s">
        <v>43</v>
      </c>
      <c r="O48" s="9" t="s">
        <v>13</v>
      </c>
      <c r="P48" s="10" t="s">
        <v>13</v>
      </c>
    </row>
    <row r="49" spans="2:18" x14ac:dyDescent="0.3">
      <c r="K49" t="s">
        <v>13</v>
      </c>
    </row>
    <row r="50" spans="2:18" x14ac:dyDescent="0.3">
      <c r="B50" s="3" t="s">
        <v>6</v>
      </c>
      <c r="C50" s="4" t="s">
        <v>7</v>
      </c>
      <c r="D50" s="4" t="s">
        <v>8</v>
      </c>
      <c r="E50" s="4" t="s">
        <v>9</v>
      </c>
      <c r="F50" s="4" t="s">
        <v>10</v>
      </c>
      <c r="G50" s="4" t="s">
        <v>11</v>
      </c>
      <c r="H50" s="4" t="s">
        <v>16</v>
      </c>
      <c r="I50" s="4" t="s">
        <v>9</v>
      </c>
      <c r="J50" s="4" t="s">
        <v>14</v>
      </c>
      <c r="K50" s="4" t="s">
        <v>10</v>
      </c>
      <c r="L50" s="4" t="s">
        <v>11</v>
      </c>
      <c r="M50" s="4" t="s">
        <v>18</v>
      </c>
      <c r="N50" s="4" t="s">
        <v>16</v>
      </c>
      <c r="O50" s="4" t="s">
        <v>21</v>
      </c>
      <c r="P50" s="4" t="s">
        <v>23</v>
      </c>
      <c r="Q50" s="4" t="s">
        <v>24</v>
      </c>
      <c r="R50" s="4" t="s">
        <v>40</v>
      </c>
    </row>
    <row r="51" spans="2:18" x14ac:dyDescent="0.3">
      <c r="B51" s="3"/>
      <c r="C51" s="4"/>
      <c r="D51" s="4"/>
      <c r="E51" s="4" t="s">
        <v>12</v>
      </c>
      <c r="F51" s="4" t="s">
        <v>12</v>
      </c>
      <c r="G51" s="4" t="s">
        <v>12</v>
      </c>
      <c r="H51" s="4" t="s">
        <v>17</v>
      </c>
      <c r="I51" s="4" t="s">
        <v>15</v>
      </c>
      <c r="J51" s="4" t="s">
        <v>19</v>
      </c>
      <c r="K51" s="4" t="s">
        <v>15</v>
      </c>
      <c r="L51" s="4" t="s">
        <v>15</v>
      </c>
      <c r="M51" s="4" t="s">
        <v>15</v>
      </c>
      <c r="N51" s="4" t="s">
        <v>20</v>
      </c>
      <c r="O51" s="4" t="s">
        <v>22</v>
      </c>
      <c r="P51" s="4" t="s">
        <v>22</v>
      </c>
      <c r="Q51" s="4" t="s">
        <v>22</v>
      </c>
      <c r="R51" s="4" t="s">
        <v>41</v>
      </c>
    </row>
    <row r="52" spans="2:18" x14ac:dyDescent="0.3">
      <c r="B52" s="5" t="s">
        <v>61</v>
      </c>
      <c r="C52" s="11">
        <v>20</v>
      </c>
      <c r="D52" s="11">
        <v>1</v>
      </c>
      <c r="E52" s="6">
        <v>2000</v>
      </c>
      <c r="F52" s="6">
        <v>1000</v>
      </c>
      <c r="G52" s="6">
        <v>200</v>
      </c>
      <c r="H52" s="8">
        <f>SUM(E52:G52)</f>
        <v>3200</v>
      </c>
      <c r="I52" s="6">
        <f>E52*0.8</f>
        <v>1600</v>
      </c>
      <c r="J52" s="6">
        <f>I52*0.025*-1</f>
        <v>-40</v>
      </c>
      <c r="K52" s="6">
        <f>F52*0.7</f>
        <v>700</v>
      </c>
      <c r="L52" s="6">
        <f>G52*0.5</f>
        <v>100</v>
      </c>
      <c r="M52" s="8">
        <f>SUM(I52:L52)</f>
        <v>2360</v>
      </c>
      <c r="N52" s="12">
        <f>H52-M52</f>
        <v>840</v>
      </c>
      <c r="O52" s="6">
        <f>H52/D52</f>
        <v>3200</v>
      </c>
      <c r="P52" s="6">
        <f>M52/D52</f>
        <v>2360</v>
      </c>
      <c r="Q52" s="6">
        <f>N52/D52</f>
        <v>840</v>
      </c>
      <c r="R52" s="15">
        <f>Q52/H52</f>
        <v>0.26250000000000001</v>
      </c>
    </row>
    <row r="53" spans="2:18" x14ac:dyDescent="0.3">
      <c r="B53" s="5" t="s">
        <v>62</v>
      </c>
      <c r="C53" s="11">
        <v>40</v>
      </c>
      <c r="D53" s="11">
        <v>1</v>
      </c>
      <c r="E53" s="6">
        <v>2000</v>
      </c>
      <c r="F53" s="6">
        <v>1000</v>
      </c>
      <c r="G53" s="6">
        <v>200</v>
      </c>
      <c r="H53" s="8">
        <f t="shared" ref="H53:H65" si="33">SUM(E53:G53)</f>
        <v>3200</v>
      </c>
      <c r="I53" s="6">
        <f t="shared" ref="I53:I65" si="34">E53*0.8</f>
        <v>1600</v>
      </c>
      <c r="J53" s="6">
        <f t="shared" ref="J53:J65" si="35">I53*0.025*-1</f>
        <v>-40</v>
      </c>
      <c r="K53" s="6">
        <f t="shared" ref="K53:K65" si="36">F53*0.7</f>
        <v>700</v>
      </c>
      <c r="L53" s="6">
        <f t="shared" ref="L53:L65" si="37">G53*0.5</f>
        <v>100</v>
      </c>
      <c r="M53" s="8">
        <f t="shared" ref="M53:M65" si="38">SUM(I53:L53)</f>
        <v>2360</v>
      </c>
      <c r="N53" s="12">
        <f t="shared" ref="N53:N65" si="39">H53-M53</f>
        <v>840</v>
      </c>
      <c r="O53" s="6">
        <f t="shared" ref="O53:O65" si="40">H53/D53</f>
        <v>3200</v>
      </c>
      <c r="P53" s="6">
        <f t="shared" ref="P53:P65" si="41">M53/D53</f>
        <v>2360</v>
      </c>
      <c r="Q53" s="6">
        <f t="shared" ref="Q53:Q65" si="42">N53/D53</f>
        <v>840</v>
      </c>
      <c r="R53" s="15">
        <f t="shared" ref="R53:R65" si="43">Q53/H53</f>
        <v>0.26250000000000001</v>
      </c>
    </row>
    <row r="54" spans="2:18" x14ac:dyDescent="0.3">
      <c r="B54" s="5" t="s">
        <v>63</v>
      </c>
      <c r="C54" s="11">
        <v>40</v>
      </c>
      <c r="D54" s="11">
        <v>1</v>
      </c>
      <c r="E54" s="6">
        <v>2000</v>
      </c>
      <c r="F54" s="6">
        <v>1000</v>
      </c>
      <c r="G54" s="6">
        <v>200</v>
      </c>
      <c r="H54" s="8">
        <f t="shared" si="33"/>
        <v>3200</v>
      </c>
      <c r="I54" s="6">
        <f t="shared" si="34"/>
        <v>1600</v>
      </c>
      <c r="J54" s="6">
        <f t="shared" si="35"/>
        <v>-40</v>
      </c>
      <c r="K54" s="6">
        <f t="shared" si="36"/>
        <v>700</v>
      </c>
      <c r="L54" s="6">
        <f t="shared" si="37"/>
        <v>100</v>
      </c>
      <c r="M54" s="8">
        <f t="shared" si="38"/>
        <v>2360</v>
      </c>
      <c r="N54" s="12">
        <f t="shared" si="39"/>
        <v>840</v>
      </c>
      <c r="O54" s="6">
        <f t="shared" si="40"/>
        <v>3200</v>
      </c>
      <c r="P54" s="6">
        <f t="shared" si="41"/>
        <v>2360</v>
      </c>
      <c r="Q54" s="6">
        <f t="shared" si="42"/>
        <v>840</v>
      </c>
      <c r="R54" s="15">
        <f t="shared" si="43"/>
        <v>0.26250000000000001</v>
      </c>
    </row>
    <row r="55" spans="2:18" x14ac:dyDescent="0.3">
      <c r="B55" s="5" t="s">
        <v>64</v>
      </c>
      <c r="C55" s="11">
        <v>20</v>
      </c>
      <c r="D55" s="11">
        <v>1</v>
      </c>
      <c r="E55" s="6">
        <v>2000</v>
      </c>
      <c r="F55" s="6">
        <v>1000</v>
      </c>
      <c r="G55" s="6">
        <v>200</v>
      </c>
      <c r="H55" s="8">
        <f t="shared" si="33"/>
        <v>3200</v>
      </c>
      <c r="I55" s="6">
        <f t="shared" si="34"/>
        <v>1600</v>
      </c>
      <c r="J55" s="6">
        <f t="shared" si="35"/>
        <v>-40</v>
      </c>
      <c r="K55" s="6">
        <f t="shared" si="36"/>
        <v>700</v>
      </c>
      <c r="L55" s="6">
        <f t="shared" si="37"/>
        <v>100</v>
      </c>
      <c r="M55" s="8">
        <f t="shared" si="38"/>
        <v>2360</v>
      </c>
      <c r="N55" s="12">
        <f t="shared" si="39"/>
        <v>840</v>
      </c>
      <c r="O55" s="6">
        <f t="shared" si="40"/>
        <v>3200</v>
      </c>
      <c r="P55" s="6">
        <f t="shared" si="41"/>
        <v>2360</v>
      </c>
      <c r="Q55" s="6">
        <f t="shared" si="42"/>
        <v>840</v>
      </c>
      <c r="R55" s="15">
        <f t="shared" si="43"/>
        <v>0.26250000000000001</v>
      </c>
    </row>
    <row r="56" spans="2:18" x14ac:dyDescent="0.3">
      <c r="B56" s="5" t="s">
        <v>65</v>
      </c>
      <c r="C56" s="11">
        <v>20</v>
      </c>
      <c r="D56" s="11">
        <v>2</v>
      </c>
      <c r="E56" s="6">
        <v>4000</v>
      </c>
      <c r="F56" s="6">
        <v>2000</v>
      </c>
      <c r="G56" s="6">
        <v>400</v>
      </c>
      <c r="H56" s="8">
        <f t="shared" si="33"/>
        <v>6400</v>
      </c>
      <c r="I56" s="6">
        <f t="shared" si="34"/>
        <v>3200</v>
      </c>
      <c r="J56" s="6">
        <f t="shared" si="35"/>
        <v>-80</v>
      </c>
      <c r="K56" s="6">
        <f t="shared" si="36"/>
        <v>1400</v>
      </c>
      <c r="L56" s="6">
        <f t="shared" si="37"/>
        <v>200</v>
      </c>
      <c r="M56" s="8">
        <f t="shared" si="38"/>
        <v>4720</v>
      </c>
      <c r="N56" s="12">
        <f t="shared" si="39"/>
        <v>1680</v>
      </c>
      <c r="O56" s="6">
        <f t="shared" si="40"/>
        <v>3200</v>
      </c>
      <c r="P56" s="6">
        <f t="shared" si="41"/>
        <v>2360</v>
      </c>
      <c r="Q56" s="6">
        <f t="shared" si="42"/>
        <v>840</v>
      </c>
      <c r="R56" s="15">
        <f t="shared" si="43"/>
        <v>0.13125000000000001</v>
      </c>
    </row>
    <row r="57" spans="2:18" x14ac:dyDescent="0.3">
      <c r="B57" s="5" t="s">
        <v>66</v>
      </c>
      <c r="C57" s="11">
        <v>40</v>
      </c>
      <c r="D57" s="11">
        <v>2</v>
      </c>
      <c r="E57" s="6">
        <v>2000</v>
      </c>
      <c r="F57" s="6">
        <v>1000</v>
      </c>
      <c r="G57" s="6">
        <v>200</v>
      </c>
      <c r="H57" s="8">
        <f t="shared" si="33"/>
        <v>3200</v>
      </c>
      <c r="I57" s="6">
        <f t="shared" si="34"/>
        <v>1600</v>
      </c>
      <c r="J57" s="6">
        <f t="shared" si="35"/>
        <v>-40</v>
      </c>
      <c r="K57" s="6">
        <f t="shared" si="36"/>
        <v>700</v>
      </c>
      <c r="L57" s="6">
        <f t="shared" si="37"/>
        <v>100</v>
      </c>
      <c r="M57" s="8">
        <f t="shared" si="38"/>
        <v>2360</v>
      </c>
      <c r="N57" s="12">
        <f t="shared" si="39"/>
        <v>840</v>
      </c>
      <c r="O57" s="6">
        <f t="shared" si="40"/>
        <v>1600</v>
      </c>
      <c r="P57" s="6">
        <f t="shared" si="41"/>
        <v>1180</v>
      </c>
      <c r="Q57" s="6">
        <f t="shared" si="42"/>
        <v>420</v>
      </c>
      <c r="R57" s="15">
        <f t="shared" si="43"/>
        <v>0.13125000000000001</v>
      </c>
    </row>
    <row r="58" spans="2:18" x14ac:dyDescent="0.3">
      <c r="B58" s="5" t="s">
        <v>67</v>
      </c>
      <c r="C58" s="11">
        <v>40</v>
      </c>
      <c r="D58" s="11">
        <v>1</v>
      </c>
      <c r="E58" s="6">
        <v>2000</v>
      </c>
      <c r="F58" s="6">
        <v>1000</v>
      </c>
      <c r="G58" s="6">
        <v>200</v>
      </c>
      <c r="H58" s="8">
        <f t="shared" si="33"/>
        <v>3200</v>
      </c>
      <c r="I58" s="6">
        <f t="shared" si="34"/>
        <v>1600</v>
      </c>
      <c r="J58" s="6">
        <f t="shared" si="35"/>
        <v>-40</v>
      </c>
      <c r="K58" s="6">
        <f t="shared" si="36"/>
        <v>700</v>
      </c>
      <c r="L58" s="6">
        <f t="shared" si="37"/>
        <v>100</v>
      </c>
      <c r="M58" s="8">
        <f t="shared" si="38"/>
        <v>2360</v>
      </c>
      <c r="N58" s="12">
        <f t="shared" si="39"/>
        <v>840</v>
      </c>
      <c r="O58" s="6">
        <f t="shared" si="40"/>
        <v>3200</v>
      </c>
      <c r="P58" s="6">
        <f t="shared" si="41"/>
        <v>2360</v>
      </c>
      <c r="Q58" s="6">
        <f t="shared" si="42"/>
        <v>840</v>
      </c>
      <c r="R58" s="15">
        <f t="shared" si="43"/>
        <v>0.26250000000000001</v>
      </c>
    </row>
    <row r="59" spans="2:18" x14ac:dyDescent="0.3">
      <c r="B59" s="5" t="s">
        <v>68</v>
      </c>
      <c r="C59" s="11">
        <v>20</v>
      </c>
      <c r="D59" s="11">
        <v>1</v>
      </c>
      <c r="E59" s="6">
        <v>2000</v>
      </c>
      <c r="F59" s="6">
        <v>1000</v>
      </c>
      <c r="G59" s="6">
        <v>200</v>
      </c>
      <c r="H59" s="8">
        <f t="shared" si="33"/>
        <v>3200</v>
      </c>
      <c r="I59" s="6">
        <f t="shared" si="34"/>
        <v>1600</v>
      </c>
      <c r="J59" s="6">
        <f t="shared" si="35"/>
        <v>-40</v>
      </c>
      <c r="K59" s="6">
        <f t="shared" si="36"/>
        <v>700</v>
      </c>
      <c r="L59" s="6">
        <f t="shared" si="37"/>
        <v>100</v>
      </c>
      <c r="M59" s="8">
        <f t="shared" si="38"/>
        <v>2360</v>
      </c>
      <c r="N59" s="12">
        <f t="shared" si="39"/>
        <v>840</v>
      </c>
      <c r="O59" s="6">
        <f t="shared" si="40"/>
        <v>3200</v>
      </c>
      <c r="P59" s="6">
        <f t="shared" si="41"/>
        <v>2360</v>
      </c>
      <c r="Q59" s="6">
        <f t="shared" si="42"/>
        <v>840</v>
      </c>
      <c r="R59" s="15">
        <f t="shared" si="43"/>
        <v>0.26250000000000001</v>
      </c>
    </row>
    <row r="60" spans="2:18" x14ac:dyDescent="0.3">
      <c r="B60" s="5" t="s">
        <v>69</v>
      </c>
      <c r="C60" s="11">
        <v>20</v>
      </c>
      <c r="D60" s="11">
        <v>1</v>
      </c>
      <c r="E60" s="6">
        <v>2000</v>
      </c>
      <c r="F60" s="6">
        <v>1000</v>
      </c>
      <c r="G60" s="6">
        <v>200</v>
      </c>
      <c r="H60" s="8">
        <f t="shared" si="33"/>
        <v>3200</v>
      </c>
      <c r="I60" s="6">
        <f t="shared" si="34"/>
        <v>1600</v>
      </c>
      <c r="J60" s="6">
        <f t="shared" si="35"/>
        <v>-40</v>
      </c>
      <c r="K60" s="6">
        <f t="shared" si="36"/>
        <v>700</v>
      </c>
      <c r="L60" s="6">
        <f t="shared" si="37"/>
        <v>100</v>
      </c>
      <c r="M60" s="8">
        <f t="shared" si="38"/>
        <v>2360</v>
      </c>
      <c r="N60" s="12">
        <f t="shared" si="39"/>
        <v>840</v>
      </c>
      <c r="O60" s="6">
        <f t="shared" si="40"/>
        <v>3200</v>
      </c>
      <c r="P60" s="6">
        <f t="shared" si="41"/>
        <v>2360</v>
      </c>
      <c r="Q60" s="6">
        <f t="shared" si="42"/>
        <v>840</v>
      </c>
      <c r="R60" s="15">
        <f t="shared" si="43"/>
        <v>0.26250000000000001</v>
      </c>
    </row>
    <row r="61" spans="2:18" x14ac:dyDescent="0.3">
      <c r="B61" s="5" t="s">
        <v>70</v>
      </c>
      <c r="C61" s="11">
        <v>40</v>
      </c>
      <c r="D61" s="11">
        <v>4</v>
      </c>
      <c r="E61" s="6">
        <v>10000</v>
      </c>
      <c r="F61" s="6">
        <v>4000</v>
      </c>
      <c r="G61" s="6">
        <v>1000</v>
      </c>
      <c r="H61" s="8">
        <f t="shared" si="33"/>
        <v>15000</v>
      </c>
      <c r="I61" s="6">
        <f t="shared" si="34"/>
        <v>8000</v>
      </c>
      <c r="J61" s="6">
        <f t="shared" si="35"/>
        <v>-200</v>
      </c>
      <c r="K61" s="6">
        <f t="shared" si="36"/>
        <v>2800</v>
      </c>
      <c r="L61" s="6">
        <f t="shared" si="37"/>
        <v>500</v>
      </c>
      <c r="M61" s="8">
        <f t="shared" si="38"/>
        <v>11100</v>
      </c>
      <c r="N61" s="12">
        <f t="shared" si="39"/>
        <v>3900</v>
      </c>
      <c r="O61" s="6">
        <f t="shared" si="40"/>
        <v>3750</v>
      </c>
      <c r="P61" s="6">
        <f t="shared" si="41"/>
        <v>2775</v>
      </c>
      <c r="Q61" s="6">
        <f t="shared" si="42"/>
        <v>975</v>
      </c>
      <c r="R61" s="15">
        <f t="shared" si="43"/>
        <v>6.5000000000000002E-2</v>
      </c>
    </row>
    <row r="62" spans="2:18" x14ac:dyDescent="0.3">
      <c r="B62" s="5" t="s">
        <v>71</v>
      </c>
      <c r="C62" s="11">
        <v>40</v>
      </c>
      <c r="D62" s="11">
        <v>1</v>
      </c>
      <c r="E62" s="6">
        <v>2000</v>
      </c>
      <c r="F62" s="6">
        <v>1000</v>
      </c>
      <c r="G62" s="6">
        <v>200</v>
      </c>
      <c r="H62" s="8">
        <f t="shared" si="33"/>
        <v>3200</v>
      </c>
      <c r="I62" s="6">
        <f t="shared" si="34"/>
        <v>1600</v>
      </c>
      <c r="J62" s="6">
        <f t="shared" si="35"/>
        <v>-40</v>
      </c>
      <c r="K62" s="6">
        <f t="shared" si="36"/>
        <v>700</v>
      </c>
      <c r="L62" s="6">
        <f t="shared" si="37"/>
        <v>100</v>
      </c>
      <c r="M62" s="8">
        <f t="shared" si="38"/>
        <v>2360</v>
      </c>
      <c r="N62" s="12">
        <f t="shared" si="39"/>
        <v>840</v>
      </c>
      <c r="O62" s="6">
        <f t="shared" si="40"/>
        <v>3200</v>
      </c>
      <c r="P62" s="6">
        <f t="shared" si="41"/>
        <v>2360</v>
      </c>
      <c r="Q62" s="6">
        <f t="shared" si="42"/>
        <v>840</v>
      </c>
      <c r="R62" s="15">
        <f t="shared" si="43"/>
        <v>0.26250000000000001</v>
      </c>
    </row>
    <row r="63" spans="2:18" x14ac:dyDescent="0.3">
      <c r="B63" s="5" t="s">
        <v>72</v>
      </c>
      <c r="C63" s="11">
        <v>20</v>
      </c>
      <c r="D63" s="11">
        <v>1</v>
      </c>
      <c r="E63" s="6">
        <v>2000</v>
      </c>
      <c r="F63" s="6">
        <v>1000</v>
      </c>
      <c r="G63" s="6">
        <v>200</v>
      </c>
      <c r="H63" s="8">
        <f t="shared" si="33"/>
        <v>3200</v>
      </c>
      <c r="I63" s="6">
        <f t="shared" si="34"/>
        <v>1600</v>
      </c>
      <c r="J63" s="6">
        <f t="shared" si="35"/>
        <v>-40</v>
      </c>
      <c r="K63" s="6">
        <f t="shared" si="36"/>
        <v>700</v>
      </c>
      <c r="L63" s="6">
        <f t="shared" si="37"/>
        <v>100</v>
      </c>
      <c r="M63" s="8">
        <f t="shared" si="38"/>
        <v>2360</v>
      </c>
      <c r="N63" s="12">
        <f t="shared" si="39"/>
        <v>840</v>
      </c>
      <c r="O63" s="6">
        <f t="shared" si="40"/>
        <v>3200</v>
      </c>
      <c r="P63" s="6">
        <f t="shared" si="41"/>
        <v>2360</v>
      </c>
      <c r="Q63" s="6">
        <f t="shared" si="42"/>
        <v>840</v>
      </c>
      <c r="R63" s="15">
        <f t="shared" si="43"/>
        <v>0.26250000000000001</v>
      </c>
    </row>
    <row r="64" spans="2:18" x14ac:dyDescent="0.3">
      <c r="B64" s="5" t="s">
        <v>73</v>
      </c>
      <c r="C64" s="11">
        <v>40</v>
      </c>
      <c r="D64" s="11">
        <v>1</v>
      </c>
      <c r="E64" s="6">
        <v>2000</v>
      </c>
      <c r="F64" s="6">
        <v>1000</v>
      </c>
      <c r="G64" s="6">
        <v>200</v>
      </c>
      <c r="H64" s="8">
        <f t="shared" si="33"/>
        <v>3200</v>
      </c>
      <c r="I64" s="6">
        <f t="shared" si="34"/>
        <v>1600</v>
      </c>
      <c r="J64" s="6">
        <f t="shared" si="35"/>
        <v>-40</v>
      </c>
      <c r="K64" s="6">
        <f t="shared" si="36"/>
        <v>700</v>
      </c>
      <c r="L64" s="6">
        <f t="shared" si="37"/>
        <v>100</v>
      </c>
      <c r="M64" s="8">
        <f t="shared" si="38"/>
        <v>2360</v>
      </c>
      <c r="N64" s="12">
        <f t="shared" si="39"/>
        <v>840</v>
      </c>
      <c r="O64" s="6">
        <f t="shared" si="40"/>
        <v>3200</v>
      </c>
      <c r="P64" s="6">
        <f t="shared" si="41"/>
        <v>2360</v>
      </c>
      <c r="Q64" s="6">
        <f t="shared" si="42"/>
        <v>840</v>
      </c>
      <c r="R64" s="15">
        <f t="shared" si="43"/>
        <v>0.26250000000000001</v>
      </c>
    </row>
    <row r="65" spans="2:18" x14ac:dyDescent="0.3">
      <c r="B65" s="5" t="s">
        <v>74</v>
      </c>
      <c r="C65" s="11">
        <v>20</v>
      </c>
      <c r="D65" s="11">
        <v>1</v>
      </c>
      <c r="E65" s="6">
        <v>2000</v>
      </c>
      <c r="F65" s="6">
        <v>1000</v>
      </c>
      <c r="G65" s="6">
        <v>200</v>
      </c>
      <c r="H65" s="8">
        <f t="shared" si="33"/>
        <v>3200</v>
      </c>
      <c r="I65" s="6">
        <f t="shared" si="34"/>
        <v>1600</v>
      </c>
      <c r="J65" s="6">
        <f t="shared" si="35"/>
        <v>-40</v>
      </c>
      <c r="K65" s="6">
        <f t="shared" si="36"/>
        <v>700</v>
      </c>
      <c r="L65" s="6">
        <f t="shared" si="37"/>
        <v>100</v>
      </c>
      <c r="M65" s="8">
        <f t="shared" si="38"/>
        <v>2360</v>
      </c>
      <c r="N65" s="12">
        <f t="shared" si="39"/>
        <v>840</v>
      </c>
      <c r="O65" s="6">
        <f t="shared" si="40"/>
        <v>3200</v>
      </c>
      <c r="P65" s="6">
        <f t="shared" si="41"/>
        <v>2360</v>
      </c>
      <c r="Q65" s="6">
        <f t="shared" si="42"/>
        <v>840</v>
      </c>
      <c r="R65" s="15">
        <f t="shared" si="43"/>
        <v>0.26250000000000001</v>
      </c>
    </row>
    <row r="66" spans="2:18" x14ac:dyDescent="0.3">
      <c r="B66" s="13" t="s">
        <v>44</v>
      </c>
      <c r="C66" s="14" t="str">
        <f>C48</f>
        <v>BOM</v>
      </c>
      <c r="D66" s="14">
        <f>SUM(D52:D65)</f>
        <v>19</v>
      </c>
      <c r="E66" s="14">
        <f t="shared" ref="E66" si="44">SUM(E52:E65)</f>
        <v>38000</v>
      </c>
      <c r="F66" s="14">
        <f t="shared" ref="F66" si="45">SUM(F52:F65)</f>
        <v>18000</v>
      </c>
      <c r="G66" s="14">
        <f t="shared" ref="G66" si="46">SUM(G52:G65)</f>
        <v>3800</v>
      </c>
      <c r="H66" s="14">
        <f t="shared" ref="H66" si="47">SUM(H52:H65)</f>
        <v>59800</v>
      </c>
      <c r="I66" s="14">
        <f t="shared" ref="I66" si="48">SUM(I52:I65)</f>
        <v>30400</v>
      </c>
      <c r="J66" s="14">
        <f t="shared" ref="J66" si="49">SUM(J52:J65)</f>
        <v>-760</v>
      </c>
      <c r="K66" s="14">
        <f t="shared" ref="K66" si="50">SUM(K52:K65)</f>
        <v>12600</v>
      </c>
      <c r="L66" s="14">
        <f t="shared" ref="L66" si="51">SUM(L52:L65)</f>
        <v>1900</v>
      </c>
      <c r="M66" s="14">
        <f t="shared" ref="M66" si="52">SUM(M52:M65)</f>
        <v>44140</v>
      </c>
      <c r="N66" s="17">
        <f t="shared" ref="N66" si="53">SUM(N52:N65)</f>
        <v>15660</v>
      </c>
      <c r="O66" s="14">
        <f>H66/D66</f>
        <v>3147.3684210526317</v>
      </c>
      <c r="P66" s="14">
        <f>M66/D66</f>
        <v>2323.1578947368421</v>
      </c>
      <c r="Q66" s="14">
        <f>N66/D66</f>
        <v>824.21052631578948</v>
      </c>
      <c r="R66" s="16">
        <f>Q66/O66</f>
        <v>0.26187290969899663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72"/>
  <sheetViews>
    <sheetView topLeftCell="A47" workbookViewId="0">
      <selection activeCell="E65" sqref="E65"/>
    </sheetView>
  </sheetViews>
  <sheetFormatPr defaultRowHeight="14.4" x14ac:dyDescent="0.3"/>
  <cols>
    <col min="1" max="1" width="1.44140625" customWidth="1"/>
    <col min="2" max="2" width="6.109375" customWidth="1"/>
    <col min="3" max="3" width="14" customWidth="1"/>
    <col min="4" max="4" width="1.88671875" customWidth="1"/>
    <col min="5" max="5" width="58.109375" customWidth="1"/>
    <col min="6" max="6" width="21.6640625" customWidth="1"/>
    <col min="7" max="10" width="12.6640625" customWidth="1"/>
  </cols>
  <sheetData>
    <row r="2" spans="2:7" x14ac:dyDescent="0.3">
      <c r="B2" t="s">
        <v>115</v>
      </c>
    </row>
    <row r="3" spans="2:7" x14ac:dyDescent="0.3">
      <c r="B3" t="s">
        <v>116</v>
      </c>
    </row>
    <row r="4" spans="2:7" x14ac:dyDescent="0.3">
      <c r="B4" t="s">
        <v>117</v>
      </c>
    </row>
    <row r="6" spans="2:7" x14ac:dyDescent="0.3">
      <c r="B6" t="s">
        <v>118</v>
      </c>
    </row>
    <row r="8" spans="2:7" x14ac:dyDescent="0.3">
      <c r="F8" s="35" t="s">
        <v>123</v>
      </c>
      <c r="G8" s="35" t="s">
        <v>124</v>
      </c>
    </row>
    <row r="9" spans="2:7" x14ac:dyDescent="0.3">
      <c r="B9" s="33">
        <v>1</v>
      </c>
      <c r="C9" t="s">
        <v>1</v>
      </c>
      <c r="E9" t="s">
        <v>119</v>
      </c>
      <c r="F9" s="11" t="s">
        <v>125</v>
      </c>
      <c r="G9" s="11" t="s">
        <v>126</v>
      </c>
    </row>
    <row r="10" spans="2:7" x14ac:dyDescent="0.3">
      <c r="B10" s="33">
        <v>2</v>
      </c>
      <c r="C10" t="s">
        <v>86</v>
      </c>
      <c r="E10" t="s">
        <v>120</v>
      </c>
      <c r="F10" s="15">
        <v>0.2</v>
      </c>
      <c r="G10" s="15">
        <v>0</v>
      </c>
    </row>
    <row r="11" spans="2:7" x14ac:dyDescent="0.3">
      <c r="B11" s="33">
        <v>3</v>
      </c>
      <c r="E11" t="s">
        <v>127</v>
      </c>
      <c r="F11" s="34">
        <v>0.4</v>
      </c>
      <c r="G11" s="34">
        <v>0</v>
      </c>
    </row>
    <row r="12" spans="2:7" x14ac:dyDescent="0.3">
      <c r="B12" s="33">
        <v>4</v>
      </c>
      <c r="E12" t="s">
        <v>121</v>
      </c>
      <c r="F12" s="34">
        <v>0.3</v>
      </c>
      <c r="G12" s="34">
        <v>0.3</v>
      </c>
    </row>
    <row r="13" spans="2:7" x14ac:dyDescent="0.3">
      <c r="B13" s="33">
        <v>5</v>
      </c>
      <c r="E13" t="s">
        <v>122</v>
      </c>
      <c r="F13" s="34">
        <v>0.3</v>
      </c>
      <c r="G13" s="34">
        <v>0.3</v>
      </c>
    </row>
    <row r="14" spans="2:7" x14ac:dyDescent="0.3">
      <c r="B14" s="33">
        <v>6</v>
      </c>
      <c r="E14" t="s">
        <v>128</v>
      </c>
      <c r="F14" s="34">
        <v>0.3</v>
      </c>
      <c r="G14" s="34">
        <v>0.1</v>
      </c>
    </row>
    <row r="15" spans="2:7" x14ac:dyDescent="0.3">
      <c r="B15" s="33">
        <v>7</v>
      </c>
      <c r="F15" s="34"/>
      <c r="G15" s="34"/>
    </row>
    <row r="16" spans="2:7" x14ac:dyDescent="0.3">
      <c r="B16" s="33">
        <v>8</v>
      </c>
      <c r="F16" s="34"/>
      <c r="G16" s="34"/>
    </row>
    <row r="17" spans="2:8" x14ac:dyDescent="0.3">
      <c r="B17" s="33">
        <v>9</v>
      </c>
      <c r="F17" s="34"/>
      <c r="G17" s="34"/>
    </row>
    <row r="18" spans="2:8" x14ac:dyDescent="0.3">
      <c r="B18" s="33">
        <v>10</v>
      </c>
      <c r="F18" s="34"/>
      <c r="G18" s="34"/>
    </row>
    <row r="19" spans="2:8" x14ac:dyDescent="0.3">
      <c r="B19" s="33"/>
    </row>
    <row r="20" spans="2:8" x14ac:dyDescent="0.3">
      <c r="B20" s="33">
        <v>11</v>
      </c>
      <c r="C20" t="s">
        <v>129</v>
      </c>
      <c r="E20" t="s">
        <v>130</v>
      </c>
    </row>
    <row r="21" spans="2:8" x14ac:dyDescent="0.3">
      <c r="B21" s="33"/>
    </row>
    <row r="22" spans="2:8" x14ac:dyDescent="0.3">
      <c r="B22" s="33"/>
      <c r="F22" t="s">
        <v>145</v>
      </c>
    </row>
    <row r="23" spans="2:8" x14ac:dyDescent="0.3">
      <c r="B23" s="33" t="s">
        <v>131</v>
      </c>
      <c r="F23" t="s">
        <v>146</v>
      </c>
    </row>
    <row r="24" spans="2:8" x14ac:dyDescent="0.3">
      <c r="C24" t="s">
        <v>132</v>
      </c>
      <c r="E24" t="s">
        <v>133</v>
      </c>
    </row>
    <row r="25" spans="2:8" x14ac:dyDescent="0.3">
      <c r="C25" t="s">
        <v>134</v>
      </c>
      <c r="E25" t="s">
        <v>133</v>
      </c>
      <c r="F25" t="s">
        <v>147</v>
      </c>
      <c r="G25" s="35" t="s">
        <v>148</v>
      </c>
      <c r="H25" s="35" t="s">
        <v>149</v>
      </c>
    </row>
    <row r="26" spans="2:8" x14ac:dyDescent="0.3">
      <c r="C26" t="s">
        <v>135</v>
      </c>
      <c r="E26" t="s">
        <v>133</v>
      </c>
      <c r="F26" t="s">
        <v>150</v>
      </c>
      <c r="G26">
        <v>201</v>
      </c>
      <c r="H26">
        <f>G26-100</f>
        <v>101</v>
      </c>
    </row>
    <row r="27" spans="2:8" x14ac:dyDescent="0.3">
      <c r="C27" t="s">
        <v>136</v>
      </c>
      <c r="E27" t="s">
        <v>133</v>
      </c>
      <c r="F27" t="s">
        <v>151</v>
      </c>
      <c r="G27">
        <f>G26+1</f>
        <v>202</v>
      </c>
      <c r="H27">
        <f t="shared" ref="H27:H72" si="0">G27-100</f>
        <v>102</v>
      </c>
    </row>
    <row r="28" spans="2:8" x14ac:dyDescent="0.3">
      <c r="E28" t="s">
        <v>133</v>
      </c>
      <c r="F28" t="s">
        <v>152</v>
      </c>
      <c r="G28">
        <f t="shared" ref="G28:G34" si="1">G27+1</f>
        <v>203</v>
      </c>
      <c r="H28">
        <f t="shared" si="0"/>
        <v>103</v>
      </c>
    </row>
    <row r="29" spans="2:8" x14ac:dyDescent="0.3">
      <c r="C29" t="s">
        <v>137</v>
      </c>
      <c r="E29" t="s">
        <v>133</v>
      </c>
      <c r="F29" t="s">
        <v>153</v>
      </c>
      <c r="G29">
        <f t="shared" si="1"/>
        <v>204</v>
      </c>
      <c r="H29">
        <f t="shared" si="0"/>
        <v>104</v>
      </c>
    </row>
    <row r="30" spans="2:8" x14ac:dyDescent="0.3">
      <c r="C30" t="s">
        <v>138</v>
      </c>
      <c r="E30" t="s">
        <v>133</v>
      </c>
      <c r="F30" t="s">
        <v>154</v>
      </c>
      <c r="G30">
        <f t="shared" si="1"/>
        <v>205</v>
      </c>
      <c r="H30">
        <f t="shared" si="0"/>
        <v>105</v>
      </c>
    </row>
    <row r="31" spans="2:8" x14ac:dyDescent="0.3">
      <c r="C31" t="s">
        <v>139</v>
      </c>
      <c r="E31" t="s">
        <v>133</v>
      </c>
      <c r="F31" t="s">
        <v>155</v>
      </c>
      <c r="G31">
        <f t="shared" si="1"/>
        <v>206</v>
      </c>
      <c r="H31">
        <f t="shared" si="0"/>
        <v>106</v>
      </c>
    </row>
    <row r="32" spans="2:8" x14ac:dyDescent="0.3">
      <c r="C32" t="s">
        <v>140</v>
      </c>
      <c r="E32" t="s">
        <v>133</v>
      </c>
      <c r="F32" t="s">
        <v>156</v>
      </c>
      <c r="G32">
        <f t="shared" si="1"/>
        <v>207</v>
      </c>
      <c r="H32">
        <f t="shared" si="0"/>
        <v>107</v>
      </c>
    </row>
    <row r="33" spans="3:8" x14ac:dyDescent="0.3">
      <c r="E33" t="s">
        <v>133</v>
      </c>
      <c r="F33" t="s">
        <v>157</v>
      </c>
      <c r="G33">
        <f t="shared" si="1"/>
        <v>208</v>
      </c>
      <c r="H33">
        <f t="shared" si="0"/>
        <v>108</v>
      </c>
    </row>
    <row r="34" spans="3:8" x14ac:dyDescent="0.3">
      <c r="C34" t="s">
        <v>141</v>
      </c>
      <c r="E34" t="s">
        <v>133</v>
      </c>
      <c r="F34" t="s">
        <v>158</v>
      </c>
      <c r="G34">
        <f t="shared" si="1"/>
        <v>209</v>
      </c>
      <c r="H34">
        <f t="shared" si="0"/>
        <v>109</v>
      </c>
    </row>
    <row r="35" spans="3:8" x14ac:dyDescent="0.3">
      <c r="C35" t="s">
        <v>142</v>
      </c>
      <c r="E35" t="s">
        <v>133</v>
      </c>
      <c r="F35" t="s">
        <v>159</v>
      </c>
      <c r="G35">
        <f t="shared" ref="G35:G38" si="2">G34+1</f>
        <v>210</v>
      </c>
      <c r="H35">
        <f t="shared" si="0"/>
        <v>110</v>
      </c>
    </row>
    <row r="36" spans="3:8" x14ac:dyDescent="0.3">
      <c r="C36" t="s">
        <v>143</v>
      </c>
      <c r="E36" t="s">
        <v>133</v>
      </c>
      <c r="F36" t="s">
        <v>160</v>
      </c>
      <c r="G36">
        <f t="shared" si="2"/>
        <v>211</v>
      </c>
      <c r="H36">
        <f t="shared" si="0"/>
        <v>111</v>
      </c>
    </row>
    <row r="37" spans="3:8" x14ac:dyDescent="0.3">
      <c r="C37" t="s">
        <v>144</v>
      </c>
      <c r="E37" t="s">
        <v>133</v>
      </c>
      <c r="F37" t="s">
        <v>161</v>
      </c>
      <c r="G37">
        <f t="shared" si="2"/>
        <v>212</v>
      </c>
      <c r="H37">
        <f t="shared" si="0"/>
        <v>112</v>
      </c>
    </row>
    <row r="38" spans="3:8" x14ac:dyDescent="0.3">
      <c r="E38" t="s">
        <v>133</v>
      </c>
      <c r="F38" t="s">
        <v>162</v>
      </c>
      <c r="G38">
        <f t="shared" si="2"/>
        <v>213</v>
      </c>
      <c r="H38">
        <f t="shared" si="0"/>
        <v>113</v>
      </c>
    </row>
    <row r="39" spans="3:8" x14ac:dyDescent="0.3">
      <c r="F39" t="s">
        <v>163</v>
      </c>
      <c r="G39">
        <f t="shared" ref="G39:G45" si="3">G38+1</f>
        <v>214</v>
      </c>
      <c r="H39">
        <f t="shared" si="0"/>
        <v>114</v>
      </c>
    </row>
    <row r="40" spans="3:8" x14ac:dyDescent="0.3">
      <c r="F40" t="s">
        <v>164</v>
      </c>
      <c r="G40">
        <f t="shared" si="3"/>
        <v>215</v>
      </c>
      <c r="H40">
        <f t="shared" si="0"/>
        <v>115</v>
      </c>
    </row>
    <row r="41" spans="3:8" x14ac:dyDescent="0.3">
      <c r="F41" t="s">
        <v>165</v>
      </c>
      <c r="G41">
        <f t="shared" si="3"/>
        <v>216</v>
      </c>
      <c r="H41">
        <f t="shared" si="0"/>
        <v>116</v>
      </c>
    </row>
    <row r="42" spans="3:8" x14ac:dyDescent="0.3">
      <c r="F42" t="s">
        <v>166</v>
      </c>
      <c r="G42">
        <f t="shared" si="3"/>
        <v>217</v>
      </c>
      <c r="H42">
        <f t="shared" si="0"/>
        <v>117</v>
      </c>
    </row>
    <row r="43" spans="3:8" x14ac:dyDescent="0.3">
      <c r="F43" t="s">
        <v>167</v>
      </c>
      <c r="G43">
        <f t="shared" si="3"/>
        <v>218</v>
      </c>
      <c r="H43">
        <f t="shared" si="0"/>
        <v>118</v>
      </c>
    </row>
    <row r="44" spans="3:8" x14ac:dyDescent="0.3">
      <c r="F44" t="s">
        <v>168</v>
      </c>
      <c r="G44">
        <f t="shared" si="3"/>
        <v>219</v>
      </c>
      <c r="H44">
        <f t="shared" si="0"/>
        <v>119</v>
      </c>
    </row>
    <row r="45" spans="3:8" x14ac:dyDescent="0.3">
      <c r="F45" t="s">
        <v>169</v>
      </c>
      <c r="G45">
        <f t="shared" si="3"/>
        <v>220</v>
      </c>
      <c r="H45">
        <f t="shared" si="0"/>
        <v>120</v>
      </c>
    </row>
    <row r="46" spans="3:8" x14ac:dyDescent="0.3">
      <c r="F46" t="s">
        <v>170</v>
      </c>
      <c r="G46">
        <f t="shared" ref="G46:G57" si="4">G45+1</f>
        <v>221</v>
      </c>
      <c r="H46">
        <f t="shared" si="0"/>
        <v>121</v>
      </c>
    </row>
    <row r="47" spans="3:8" x14ac:dyDescent="0.3">
      <c r="F47" t="s">
        <v>171</v>
      </c>
      <c r="G47">
        <f t="shared" si="4"/>
        <v>222</v>
      </c>
      <c r="H47">
        <f t="shared" si="0"/>
        <v>122</v>
      </c>
    </row>
    <row r="48" spans="3:8" x14ac:dyDescent="0.3">
      <c r="F48" t="s">
        <v>172</v>
      </c>
      <c r="G48">
        <f t="shared" si="4"/>
        <v>223</v>
      </c>
      <c r="H48">
        <f t="shared" si="0"/>
        <v>123</v>
      </c>
    </row>
    <row r="49" spans="6:8" x14ac:dyDescent="0.3">
      <c r="F49" t="s">
        <v>173</v>
      </c>
      <c r="G49">
        <f t="shared" si="4"/>
        <v>224</v>
      </c>
      <c r="H49">
        <f t="shared" si="0"/>
        <v>124</v>
      </c>
    </row>
    <row r="50" spans="6:8" x14ac:dyDescent="0.3">
      <c r="F50" t="s">
        <v>174</v>
      </c>
      <c r="G50">
        <f t="shared" si="4"/>
        <v>225</v>
      </c>
      <c r="H50">
        <f t="shared" si="0"/>
        <v>125</v>
      </c>
    </row>
    <row r="51" spans="6:8" x14ac:dyDescent="0.3">
      <c r="F51" t="s">
        <v>175</v>
      </c>
      <c r="G51">
        <f t="shared" si="4"/>
        <v>226</v>
      </c>
      <c r="H51">
        <f t="shared" si="0"/>
        <v>126</v>
      </c>
    </row>
    <row r="52" spans="6:8" x14ac:dyDescent="0.3">
      <c r="F52" t="s">
        <v>176</v>
      </c>
      <c r="G52">
        <f t="shared" si="4"/>
        <v>227</v>
      </c>
      <c r="H52">
        <f t="shared" si="0"/>
        <v>127</v>
      </c>
    </row>
    <row r="53" spans="6:8" x14ac:dyDescent="0.3">
      <c r="F53" t="s">
        <v>177</v>
      </c>
      <c r="G53">
        <f t="shared" si="4"/>
        <v>228</v>
      </c>
      <c r="H53">
        <f t="shared" si="0"/>
        <v>128</v>
      </c>
    </row>
    <row r="54" spans="6:8" x14ac:dyDescent="0.3">
      <c r="F54" t="s">
        <v>178</v>
      </c>
      <c r="G54">
        <f t="shared" si="4"/>
        <v>229</v>
      </c>
      <c r="H54">
        <f t="shared" si="0"/>
        <v>129</v>
      </c>
    </row>
    <row r="55" spans="6:8" x14ac:dyDescent="0.3">
      <c r="F55" t="s">
        <v>179</v>
      </c>
      <c r="G55">
        <f t="shared" si="4"/>
        <v>230</v>
      </c>
      <c r="H55">
        <f t="shared" si="0"/>
        <v>130</v>
      </c>
    </row>
    <row r="56" spans="6:8" x14ac:dyDescent="0.3">
      <c r="F56" t="s">
        <v>180</v>
      </c>
      <c r="G56">
        <f t="shared" si="4"/>
        <v>231</v>
      </c>
      <c r="H56">
        <f t="shared" si="0"/>
        <v>131</v>
      </c>
    </row>
    <row r="57" spans="6:8" x14ac:dyDescent="0.3">
      <c r="F57" t="s">
        <v>181</v>
      </c>
      <c r="G57">
        <f t="shared" si="4"/>
        <v>232</v>
      </c>
      <c r="H57">
        <f t="shared" si="0"/>
        <v>132</v>
      </c>
    </row>
    <row r="58" spans="6:8" x14ac:dyDescent="0.3">
      <c r="F58" t="s">
        <v>182</v>
      </c>
      <c r="G58">
        <f t="shared" ref="G58" si="5">G57+1</f>
        <v>233</v>
      </c>
      <c r="H58">
        <f t="shared" si="0"/>
        <v>133</v>
      </c>
    </row>
    <row r="59" spans="6:8" x14ac:dyDescent="0.3">
      <c r="F59" t="s">
        <v>183</v>
      </c>
      <c r="G59">
        <f t="shared" ref="G59:G64" si="6">G58+1</f>
        <v>234</v>
      </c>
      <c r="H59">
        <f t="shared" si="0"/>
        <v>134</v>
      </c>
    </row>
    <row r="60" spans="6:8" x14ac:dyDescent="0.3">
      <c r="F60" t="s">
        <v>184</v>
      </c>
      <c r="G60">
        <f t="shared" si="6"/>
        <v>235</v>
      </c>
      <c r="H60">
        <f t="shared" si="0"/>
        <v>135</v>
      </c>
    </row>
    <row r="61" spans="6:8" x14ac:dyDescent="0.3">
      <c r="F61" t="s">
        <v>185</v>
      </c>
      <c r="G61">
        <f t="shared" si="6"/>
        <v>236</v>
      </c>
      <c r="H61">
        <f t="shared" si="0"/>
        <v>136</v>
      </c>
    </row>
    <row r="62" spans="6:8" x14ac:dyDescent="0.3">
      <c r="F62" t="s">
        <v>193</v>
      </c>
      <c r="G62">
        <f t="shared" si="6"/>
        <v>237</v>
      </c>
      <c r="H62">
        <f t="shared" si="0"/>
        <v>137</v>
      </c>
    </row>
    <row r="63" spans="6:8" x14ac:dyDescent="0.3">
      <c r="F63" s="37" t="s">
        <v>261</v>
      </c>
      <c r="G63">
        <f t="shared" si="6"/>
        <v>238</v>
      </c>
      <c r="H63">
        <f t="shared" si="0"/>
        <v>138</v>
      </c>
    </row>
    <row r="64" spans="6:8" x14ac:dyDescent="0.3">
      <c r="G64">
        <f t="shared" si="6"/>
        <v>239</v>
      </c>
      <c r="H64">
        <f t="shared" si="0"/>
        <v>139</v>
      </c>
    </row>
    <row r="65" spans="6:8" x14ac:dyDescent="0.3">
      <c r="F65" t="s">
        <v>186</v>
      </c>
      <c r="G65">
        <f t="shared" ref="G65:G72" si="7">G64+1</f>
        <v>240</v>
      </c>
      <c r="H65">
        <f t="shared" si="0"/>
        <v>140</v>
      </c>
    </row>
    <row r="66" spans="6:8" x14ac:dyDescent="0.3">
      <c r="F66" t="s">
        <v>187</v>
      </c>
      <c r="G66">
        <f t="shared" si="7"/>
        <v>241</v>
      </c>
      <c r="H66">
        <f t="shared" si="0"/>
        <v>141</v>
      </c>
    </row>
    <row r="67" spans="6:8" x14ac:dyDescent="0.3">
      <c r="F67" t="s">
        <v>188</v>
      </c>
      <c r="G67">
        <f t="shared" si="7"/>
        <v>242</v>
      </c>
      <c r="H67">
        <f t="shared" si="0"/>
        <v>142</v>
      </c>
    </row>
    <row r="68" spans="6:8" x14ac:dyDescent="0.3">
      <c r="F68" t="s">
        <v>189</v>
      </c>
      <c r="G68">
        <f t="shared" si="7"/>
        <v>243</v>
      </c>
      <c r="H68">
        <f t="shared" si="0"/>
        <v>143</v>
      </c>
    </row>
    <row r="69" spans="6:8" x14ac:dyDescent="0.3">
      <c r="F69" t="s">
        <v>190</v>
      </c>
      <c r="G69">
        <f t="shared" si="7"/>
        <v>244</v>
      </c>
      <c r="H69">
        <f t="shared" si="0"/>
        <v>144</v>
      </c>
    </row>
    <row r="70" spans="6:8" x14ac:dyDescent="0.3">
      <c r="F70" t="s">
        <v>191</v>
      </c>
      <c r="G70">
        <f t="shared" si="7"/>
        <v>245</v>
      </c>
      <c r="H70">
        <f t="shared" si="0"/>
        <v>145</v>
      </c>
    </row>
    <row r="71" spans="6:8" x14ac:dyDescent="0.3">
      <c r="F71" t="s">
        <v>192</v>
      </c>
      <c r="G71">
        <f t="shared" si="7"/>
        <v>246</v>
      </c>
      <c r="H71">
        <f t="shared" si="0"/>
        <v>146</v>
      </c>
    </row>
    <row r="72" spans="6:8" x14ac:dyDescent="0.3">
      <c r="G72">
        <f t="shared" si="7"/>
        <v>247</v>
      </c>
      <c r="H72">
        <f t="shared" si="0"/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57"/>
  <sheetViews>
    <sheetView topLeftCell="A29" workbookViewId="0">
      <selection activeCell="E41" sqref="E41"/>
    </sheetView>
  </sheetViews>
  <sheetFormatPr defaultRowHeight="14.4" x14ac:dyDescent="0.3"/>
  <cols>
    <col min="1" max="1" width="2.5546875" customWidth="1"/>
    <col min="2" max="2" width="26.109375" customWidth="1"/>
    <col min="3" max="9" width="12.6640625" customWidth="1"/>
  </cols>
  <sheetData>
    <row r="2" spans="2:11" x14ac:dyDescent="0.3">
      <c r="B2" t="s">
        <v>194</v>
      </c>
    </row>
    <row r="3" spans="2:11" ht="15" thickBot="1" x14ac:dyDescent="0.35">
      <c r="C3" s="11" t="s">
        <v>196</v>
      </c>
      <c r="D3" s="11" t="s">
        <v>197</v>
      </c>
      <c r="E3" s="11" t="s">
        <v>195</v>
      </c>
      <c r="F3" s="11"/>
      <c r="G3" s="11" t="s">
        <v>199</v>
      </c>
      <c r="H3" s="11" t="s">
        <v>202</v>
      </c>
      <c r="I3" s="11" t="s">
        <v>204</v>
      </c>
      <c r="J3" s="35"/>
    </row>
    <row r="4" spans="2:11" ht="15" thickTop="1" x14ac:dyDescent="0.3">
      <c r="B4" t="s">
        <v>13</v>
      </c>
      <c r="C4" s="38">
        <v>123456</v>
      </c>
      <c r="D4" s="38">
        <v>7891011</v>
      </c>
      <c r="E4" s="36" t="s">
        <v>198</v>
      </c>
      <c r="F4" s="38"/>
      <c r="G4" s="36" t="s">
        <v>200</v>
      </c>
      <c r="H4" s="36" t="s">
        <v>203</v>
      </c>
      <c r="I4" s="36" t="s">
        <v>205</v>
      </c>
    </row>
    <row r="5" spans="2:11" x14ac:dyDescent="0.3">
      <c r="B5" s="37"/>
      <c r="C5" s="37"/>
      <c r="D5" s="37"/>
      <c r="E5" s="37"/>
      <c r="F5" s="37"/>
      <c r="G5" s="40" t="s">
        <v>206</v>
      </c>
      <c r="H5" s="43" t="s">
        <v>201</v>
      </c>
      <c r="I5" s="46"/>
    </row>
    <row r="6" spans="2:11" x14ac:dyDescent="0.3">
      <c r="B6" s="37" t="s">
        <v>147</v>
      </c>
      <c r="C6" s="39" t="s">
        <v>148</v>
      </c>
      <c r="D6" s="39" t="s">
        <v>149</v>
      </c>
      <c r="E6" s="37"/>
      <c r="F6" s="37"/>
      <c r="G6" s="41"/>
      <c r="H6" s="44"/>
      <c r="I6" s="47"/>
    </row>
    <row r="7" spans="2:11" x14ac:dyDescent="0.3">
      <c r="B7" s="37" t="s">
        <v>150</v>
      </c>
      <c r="C7" s="37">
        <v>201</v>
      </c>
      <c r="D7" s="37">
        <f>C7-100</f>
        <v>101</v>
      </c>
      <c r="E7" s="37"/>
      <c r="F7" s="37"/>
      <c r="G7" s="42">
        <v>5000</v>
      </c>
      <c r="H7" s="45">
        <f>G7*0.75</f>
        <v>3750</v>
      </c>
      <c r="I7" s="48" t="s">
        <v>208</v>
      </c>
      <c r="K7" t="s">
        <v>258</v>
      </c>
    </row>
    <row r="8" spans="2:11" x14ac:dyDescent="0.3">
      <c r="B8" s="37" t="s">
        <v>151</v>
      </c>
      <c r="C8" s="37">
        <f>C7+1</f>
        <v>202</v>
      </c>
      <c r="D8" s="37">
        <f t="shared" ref="D8:D53" si="0">C8-100</f>
        <v>102</v>
      </c>
      <c r="E8" s="37"/>
      <c r="F8" s="37"/>
      <c r="G8" s="42">
        <f>G7-100</f>
        <v>4900</v>
      </c>
      <c r="H8" s="45">
        <f>G8*0.75</f>
        <v>3675</v>
      </c>
      <c r="I8" s="48" t="s">
        <v>209</v>
      </c>
      <c r="K8" t="s">
        <v>259</v>
      </c>
    </row>
    <row r="9" spans="2:11" x14ac:dyDescent="0.3">
      <c r="B9" s="37" t="s">
        <v>152</v>
      </c>
      <c r="C9" s="37">
        <f t="shared" ref="C9:C53" si="1">C8+1</f>
        <v>203</v>
      </c>
      <c r="D9" s="37">
        <f t="shared" si="0"/>
        <v>103</v>
      </c>
      <c r="E9" s="37"/>
      <c r="F9" s="37"/>
      <c r="G9" s="42">
        <f t="shared" ref="G9:G56" si="2">G8-100</f>
        <v>4800</v>
      </c>
      <c r="H9" s="45">
        <f t="shared" ref="H9:H57" si="3">G9*0.75</f>
        <v>3600</v>
      </c>
      <c r="I9" s="48" t="s">
        <v>210</v>
      </c>
      <c r="K9" t="s">
        <v>260</v>
      </c>
    </row>
    <row r="10" spans="2:11" x14ac:dyDescent="0.3">
      <c r="B10" s="37" t="s">
        <v>153</v>
      </c>
      <c r="C10" s="37">
        <f t="shared" si="1"/>
        <v>204</v>
      </c>
      <c r="D10" s="37">
        <f t="shared" si="0"/>
        <v>104</v>
      </c>
      <c r="E10" s="37"/>
      <c r="F10" s="37"/>
      <c r="G10" s="42">
        <f t="shared" si="2"/>
        <v>4700</v>
      </c>
      <c r="H10" s="45">
        <f t="shared" si="3"/>
        <v>3525</v>
      </c>
      <c r="I10" s="48" t="s">
        <v>211</v>
      </c>
    </row>
    <row r="11" spans="2:11" x14ac:dyDescent="0.3">
      <c r="B11" s="37" t="s">
        <v>154</v>
      </c>
      <c r="C11" s="37">
        <f t="shared" si="1"/>
        <v>205</v>
      </c>
      <c r="D11" s="37">
        <f t="shared" si="0"/>
        <v>105</v>
      </c>
      <c r="E11" s="37"/>
      <c r="F11" s="37"/>
      <c r="G11" s="42">
        <f t="shared" si="2"/>
        <v>4600</v>
      </c>
      <c r="H11" s="45">
        <f t="shared" si="3"/>
        <v>3450</v>
      </c>
      <c r="I11" s="48" t="s">
        <v>212</v>
      </c>
    </row>
    <row r="12" spans="2:11" x14ac:dyDescent="0.3">
      <c r="B12" s="37" t="s">
        <v>155</v>
      </c>
      <c r="C12" s="37">
        <f t="shared" si="1"/>
        <v>206</v>
      </c>
      <c r="D12" s="37">
        <f t="shared" si="0"/>
        <v>106</v>
      </c>
      <c r="E12" s="37"/>
      <c r="F12" s="37"/>
      <c r="G12" s="42">
        <f t="shared" si="2"/>
        <v>4500</v>
      </c>
      <c r="H12" s="45">
        <f t="shared" si="3"/>
        <v>3375</v>
      </c>
      <c r="I12" s="48" t="s">
        <v>213</v>
      </c>
    </row>
    <row r="13" spans="2:11" x14ac:dyDescent="0.3">
      <c r="B13" s="37" t="s">
        <v>156</v>
      </c>
      <c r="C13" s="37">
        <f t="shared" si="1"/>
        <v>207</v>
      </c>
      <c r="D13" s="37">
        <f t="shared" si="0"/>
        <v>107</v>
      </c>
      <c r="E13" s="37"/>
      <c r="F13" s="37"/>
      <c r="G13" s="42">
        <f t="shared" si="2"/>
        <v>4400</v>
      </c>
      <c r="H13" s="45">
        <f t="shared" si="3"/>
        <v>3300</v>
      </c>
      <c r="I13" s="48" t="s">
        <v>214</v>
      </c>
    </row>
    <row r="14" spans="2:11" x14ac:dyDescent="0.3">
      <c r="B14" s="37" t="s">
        <v>157</v>
      </c>
      <c r="C14" s="37">
        <f t="shared" si="1"/>
        <v>208</v>
      </c>
      <c r="D14" s="37">
        <f t="shared" si="0"/>
        <v>108</v>
      </c>
      <c r="E14" s="37"/>
      <c r="F14" s="37"/>
      <c r="G14" s="42">
        <f t="shared" si="2"/>
        <v>4300</v>
      </c>
      <c r="H14" s="45">
        <f t="shared" si="3"/>
        <v>3225</v>
      </c>
      <c r="I14" s="48" t="s">
        <v>215</v>
      </c>
    </row>
    <row r="15" spans="2:11" x14ac:dyDescent="0.3">
      <c r="B15" s="37" t="s">
        <v>158</v>
      </c>
      <c r="C15" s="37">
        <f t="shared" si="1"/>
        <v>209</v>
      </c>
      <c r="D15" s="37">
        <f t="shared" si="0"/>
        <v>109</v>
      </c>
      <c r="E15" s="37"/>
      <c r="F15" s="37"/>
      <c r="G15" s="42">
        <f t="shared" si="2"/>
        <v>4200</v>
      </c>
      <c r="H15" s="45">
        <f t="shared" si="3"/>
        <v>3150</v>
      </c>
      <c r="I15" s="48" t="s">
        <v>216</v>
      </c>
    </row>
    <row r="16" spans="2:11" x14ac:dyDescent="0.3">
      <c r="B16" s="37" t="s">
        <v>159</v>
      </c>
      <c r="C16" s="37">
        <f t="shared" si="1"/>
        <v>210</v>
      </c>
      <c r="D16" s="37">
        <f t="shared" si="0"/>
        <v>110</v>
      </c>
      <c r="E16" s="37"/>
      <c r="F16" s="37"/>
      <c r="G16" s="42">
        <f t="shared" si="2"/>
        <v>4100</v>
      </c>
      <c r="H16" s="45">
        <f t="shared" si="3"/>
        <v>3075</v>
      </c>
      <c r="I16" s="48" t="s">
        <v>217</v>
      </c>
    </row>
    <row r="17" spans="2:9" x14ac:dyDescent="0.3">
      <c r="B17" s="37" t="s">
        <v>160</v>
      </c>
      <c r="C17" s="37">
        <f t="shared" si="1"/>
        <v>211</v>
      </c>
      <c r="D17" s="37">
        <f t="shared" si="0"/>
        <v>111</v>
      </c>
      <c r="E17" s="37"/>
      <c r="F17" s="37"/>
      <c r="G17" s="42">
        <f t="shared" si="2"/>
        <v>4000</v>
      </c>
      <c r="H17" s="45">
        <f t="shared" si="3"/>
        <v>3000</v>
      </c>
      <c r="I17" s="48" t="s">
        <v>218</v>
      </c>
    </row>
    <row r="18" spans="2:9" x14ac:dyDescent="0.3">
      <c r="B18" s="37" t="s">
        <v>161</v>
      </c>
      <c r="C18" s="37">
        <f t="shared" si="1"/>
        <v>212</v>
      </c>
      <c r="D18" s="37">
        <f t="shared" si="0"/>
        <v>112</v>
      </c>
      <c r="E18" s="37"/>
      <c r="F18" s="37"/>
      <c r="G18" s="42">
        <f t="shared" si="2"/>
        <v>3900</v>
      </c>
      <c r="H18" s="45">
        <f t="shared" si="3"/>
        <v>2925</v>
      </c>
      <c r="I18" s="48" t="s">
        <v>219</v>
      </c>
    </row>
    <row r="19" spans="2:9" x14ac:dyDescent="0.3">
      <c r="B19" s="37" t="s">
        <v>162</v>
      </c>
      <c r="C19" s="37">
        <f t="shared" si="1"/>
        <v>213</v>
      </c>
      <c r="D19" s="37">
        <f t="shared" si="0"/>
        <v>113</v>
      </c>
      <c r="E19" s="37"/>
      <c r="F19" s="37"/>
      <c r="G19" s="42">
        <f t="shared" si="2"/>
        <v>3800</v>
      </c>
      <c r="H19" s="45">
        <f t="shared" si="3"/>
        <v>2850</v>
      </c>
      <c r="I19" s="48" t="s">
        <v>220</v>
      </c>
    </row>
    <row r="20" spans="2:9" x14ac:dyDescent="0.3">
      <c r="B20" s="37" t="s">
        <v>163</v>
      </c>
      <c r="C20" s="37">
        <f t="shared" si="1"/>
        <v>214</v>
      </c>
      <c r="D20" s="37">
        <f t="shared" si="0"/>
        <v>114</v>
      </c>
      <c r="E20" s="37"/>
      <c r="F20" s="37"/>
      <c r="G20" s="42">
        <f t="shared" si="2"/>
        <v>3700</v>
      </c>
      <c r="H20" s="45">
        <f t="shared" si="3"/>
        <v>2775</v>
      </c>
      <c r="I20" s="48" t="s">
        <v>221</v>
      </c>
    </row>
    <row r="21" spans="2:9" x14ac:dyDescent="0.3">
      <c r="B21" s="37" t="s">
        <v>164</v>
      </c>
      <c r="C21" s="37">
        <f t="shared" si="1"/>
        <v>215</v>
      </c>
      <c r="D21" s="37">
        <f t="shared" si="0"/>
        <v>115</v>
      </c>
      <c r="E21" s="37"/>
      <c r="F21" s="37"/>
      <c r="G21" s="42">
        <f t="shared" si="2"/>
        <v>3600</v>
      </c>
      <c r="H21" s="45">
        <f t="shared" si="3"/>
        <v>2700</v>
      </c>
      <c r="I21" s="48" t="s">
        <v>222</v>
      </c>
    </row>
    <row r="22" spans="2:9" x14ac:dyDescent="0.3">
      <c r="B22" s="37" t="s">
        <v>165</v>
      </c>
      <c r="C22" s="37">
        <f t="shared" si="1"/>
        <v>216</v>
      </c>
      <c r="D22" s="37">
        <f t="shared" si="0"/>
        <v>116</v>
      </c>
      <c r="E22" s="37"/>
      <c r="F22" s="37"/>
      <c r="G22" s="42">
        <f t="shared" si="2"/>
        <v>3500</v>
      </c>
      <c r="H22" s="45">
        <f t="shared" si="3"/>
        <v>2625</v>
      </c>
      <c r="I22" s="48" t="s">
        <v>223</v>
      </c>
    </row>
    <row r="23" spans="2:9" x14ac:dyDescent="0.3">
      <c r="B23" s="37" t="s">
        <v>166</v>
      </c>
      <c r="C23" s="37">
        <f t="shared" si="1"/>
        <v>217</v>
      </c>
      <c r="D23" s="37">
        <f t="shared" si="0"/>
        <v>117</v>
      </c>
      <c r="E23" s="37"/>
      <c r="F23" s="37"/>
      <c r="G23" s="42">
        <f t="shared" si="2"/>
        <v>3400</v>
      </c>
      <c r="H23" s="45">
        <f t="shared" si="3"/>
        <v>2550</v>
      </c>
      <c r="I23" s="48" t="s">
        <v>224</v>
      </c>
    </row>
    <row r="24" spans="2:9" x14ac:dyDescent="0.3">
      <c r="B24" s="37" t="s">
        <v>167</v>
      </c>
      <c r="C24" s="37">
        <f t="shared" si="1"/>
        <v>218</v>
      </c>
      <c r="D24" s="37">
        <f t="shared" si="0"/>
        <v>118</v>
      </c>
      <c r="E24" s="37"/>
      <c r="F24" s="37"/>
      <c r="G24" s="42">
        <f t="shared" si="2"/>
        <v>3300</v>
      </c>
      <c r="H24" s="45">
        <f t="shared" si="3"/>
        <v>2475</v>
      </c>
      <c r="I24" s="48" t="s">
        <v>225</v>
      </c>
    </row>
    <row r="25" spans="2:9" x14ac:dyDescent="0.3">
      <c r="B25" s="37" t="s">
        <v>168</v>
      </c>
      <c r="C25" s="37">
        <f t="shared" si="1"/>
        <v>219</v>
      </c>
      <c r="D25" s="37">
        <f t="shared" si="0"/>
        <v>119</v>
      </c>
      <c r="E25" s="37"/>
      <c r="F25" s="37"/>
      <c r="G25" s="42">
        <f t="shared" si="2"/>
        <v>3200</v>
      </c>
      <c r="H25" s="45">
        <f t="shared" si="3"/>
        <v>2400</v>
      </c>
      <c r="I25" s="48" t="s">
        <v>226</v>
      </c>
    </row>
    <row r="26" spans="2:9" x14ac:dyDescent="0.3">
      <c r="B26" s="37" t="s">
        <v>169</v>
      </c>
      <c r="C26" s="37">
        <f t="shared" si="1"/>
        <v>220</v>
      </c>
      <c r="D26" s="37">
        <f t="shared" si="0"/>
        <v>120</v>
      </c>
      <c r="E26" s="37"/>
      <c r="F26" s="37"/>
      <c r="G26" s="42">
        <f t="shared" si="2"/>
        <v>3100</v>
      </c>
      <c r="H26" s="45">
        <f t="shared" si="3"/>
        <v>2325</v>
      </c>
      <c r="I26" s="48" t="s">
        <v>227</v>
      </c>
    </row>
    <row r="27" spans="2:9" x14ac:dyDescent="0.3">
      <c r="B27" s="37" t="s">
        <v>170</v>
      </c>
      <c r="C27" s="37">
        <f t="shared" si="1"/>
        <v>221</v>
      </c>
      <c r="D27" s="37">
        <f t="shared" si="0"/>
        <v>121</v>
      </c>
      <c r="E27" s="37"/>
      <c r="F27" s="37"/>
      <c r="G27" s="42">
        <f t="shared" si="2"/>
        <v>3000</v>
      </c>
      <c r="H27" s="45">
        <f t="shared" si="3"/>
        <v>2250</v>
      </c>
      <c r="I27" s="48" t="s">
        <v>228</v>
      </c>
    </row>
    <row r="28" spans="2:9" x14ac:dyDescent="0.3">
      <c r="B28" s="37" t="s">
        <v>171</v>
      </c>
      <c r="C28" s="37">
        <f t="shared" si="1"/>
        <v>222</v>
      </c>
      <c r="D28" s="37">
        <f t="shared" si="0"/>
        <v>122</v>
      </c>
      <c r="E28" s="37"/>
      <c r="F28" s="37"/>
      <c r="G28" s="42">
        <f t="shared" si="2"/>
        <v>2900</v>
      </c>
      <c r="H28" s="45">
        <f t="shared" si="3"/>
        <v>2175</v>
      </c>
      <c r="I28" s="48" t="s">
        <v>229</v>
      </c>
    </row>
    <row r="29" spans="2:9" x14ac:dyDescent="0.3">
      <c r="B29" s="37" t="s">
        <v>172</v>
      </c>
      <c r="C29" s="37">
        <f t="shared" si="1"/>
        <v>223</v>
      </c>
      <c r="D29" s="37">
        <f t="shared" si="0"/>
        <v>123</v>
      </c>
      <c r="E29" s="37"/>
      <c r="F29" s="37"/>
      <c r="G29" s="42">
        <f t="shared" si="2"/>
        <v>2800</v>
      </c>
      <c r="H29" s="45">
        <f t="shared" si="3"/>
        <v>2100</v>
      </c>
      <c r="I29" s="48" t="s">
        <v>230</v>
      </c>
    </row>
    <row r="30" spans="2:9" x14ac:dyDescent="0.3">
      <c r="B30" s="37" t="s">
        <v>173</v>
      </c>
      <c r="C30" s="37">
        <f t="shared" si="1"/>
        <v>224</v>
      </c>
      <c r="D30" s="37">
        <f t="shared" si="0"/>
        <v>124</v>
      </c>
      <c r="E30" s="37"/>
      <c r="F30" s="37"/>
      <c r="G30" s="42">
        <f t="shared" si="2"/>
        <v>2700</v>
      </c>
      <c r="H30" s="45">
        <f t="shared" si="3"/>
        <v>2025</v>
      </c>
      <c r="I30" s="48" t="s">
        <v>231</v>
      </c>
    </row>
    <row r="31" spans="2:9" x14ac:dyDescent="0.3">
      <c r="B31" s="37" t="s">
        <v>174</v>
      </c>
      <c r="C31" s="37">
        <f t="shared" si="1"/>
        <v>225</v>
      </c>
      <c r="D31" s="37">
        <f t="shared" si="0"/>
        <v>125</v>
      </c>
      <c r="E31" s="37"/>
      <c r="F31" s="37"/>
      <c r="G31" s="42">
        <f t="shared" si="2"/>
        <v>2600</v>
      </c>
      <c r="H31" s="45">
        <f t="shared" si="3"/>
        <v>1950</v>
      </c>
      <c r="I31" s="48" t="s">
        <v>232</v>
      </c>
    </row>
    <row r="32" spans="2:9" x14ac:dyDescent="0.3">
      <c r="B32" s="37" t="s">
        <v>175</v>
      </c>
      <c r="C32" s="37">
        <f t="shared" si="1"/>
        <v>226</v>
      </c>
      <c r="D32" s="37">
        <f t="shared" si="0"/>
        <v>126</v>
      </c>
      <c r="E32" s="37"/>
      <c r="F32" s="37"/>
      <c r="G32" s="42">
        <f t="shared" si="2"/>
        <v>2500</v>
      </c>
      <c r="H32" s="45">
        <f t="shared" si="3"/>
        <v>1875</v>
      </c>
      <c r="I32" s="48" t="s">
        <v>233</v>
      </c>
    </row>
    <row r="33" spans="2:9" x14ac:dyDescent="0.3">
      <c r="B33" s="37" t="s">
        <v>176</v>
      </c>
      <c r="C33" s="37">
        <f t="shared" si="1"/>
        <v>227</v>
      </c>
      <c r="D33" s="37">
        <f t="shared" si="0"/>
        <v>127</v>
      </c>
      <c r="E33" s="37"/>
      <c r="F33" s="37"/>
      <c r="G33" s="42">
        <f t="shared" si="2"/>
        <v>2400</v>
      </c>
      <c r="H33" s="45">
        <f t="shared" si="3"/>
        <v>1800</v>
      </c>
      <c r="I33" s="48" t="s">
        <v>234</v>
      </c>
    </row>
    <row r="34" spans="2:9" x14ac:dyDescent="0.3">
      <c r="B34" s="37" t="s">
        <v>177</v>
      </c>
      <c r="C34" s="37">
        <f t="shared" si="1"/>
        <v>228</v>
      </c>
      <c r="D34" s="37">
        <f t="shared" si="0"/>
        <v>128</v>
      </c>
      <c r="E34" s="37"/>
      <c r="F34" s="37"/>
      <c r="G34" s="42">
        <f t="shared" si="2"/>
        <v>2300</v>
      </c>
      <c r="H34" s="45">
        <f t="shared" si="3"/>
        <v>1725</v>
      </c>
      <c r="I34" s="48" t="s">
        <v>235</v>
      </c>
    </row>
    <row r="35" spans="2:9" x14ac:dyDescent="0.3">
      <c r="B35" s="37" t="s">
        <v>178</v>
      </c>
      <c r="C35" s="37">
        <f t="shared" si="1"/>
        <v>229</v>
      </c>
      <c r="D35" s="37">
        <f t="shared" si="0"/>
        <v>129</v>
      </c>
      <c r="E35" s="37"/>
      <c r="F35" s="37"/>
      <c r="G35" s="42">
        <f t="shared" si="2"/>
        <v>2200</v>
      </c>
      <c r="H35" s="45">
        <f t="shared" si="3"/>
        <v>1650</v>
      </c>
      <c r="I35" s="48" t="s">
        <v>236</v>
      </c>
    </row>
    <row r="36" spans="2:9" x14ac:dyDescent="0.3">
      <c r="B36" s="37" t="s">
        <v>179</v>
      </c>
      <c r="C36" s="37">
        <f t="shared" si="1"/>
        <v>230</v>
      </c>
      <c r="D36" s="37">
        <f t="shared" si="0"/>
        <v>130</v>
      </c>
      <c r="E36" s="37"/>
      <c r="F36" s="37"/>
      <c r="G36" s="42">
        <f t="shared" si="2"/>
        <v>2100</v>
      </c>
      <c r="H36" s="45">
        <f t="shared" si="3"/>
        <v>1575</v>
      </c>
      <c r="I36" s="48" t="s">
        <v>237</v>
      </c>
    </row>
    <row r="37" spans="2:9" x14ac:dyDescent="0.3">
      <c r="B37" s="37" t="s">
        <v>180</v>
      </c>
      <c r="C37" s="37">
        <f t="shared" si="1"/>
        <v>231</v>
      </c>
      <c r="D37" s="37">
        <f t="shared" si="0"/>
        <v>131</v>
      </c>
      <c r="E37" s="37"/>
      <c r="F37" s="37"/>
      <c r="G37" s="42">
        <f t="shared" si="2"/>
        <v>2000</v>
      </c>
      <c r="H37" s="45">
        <f t="shared" si="3"/>
        <v>1500</v>
      </c>
      <c r="I37" s="48" t="s">
        <v>238</v>
      </c>
    </row>
    <row r="38" spans="2:9" x14ac:dyDescent="0.3">
      <c r="B38" s="37" t="s">
        <v>181</v>
      </c>
      <c r="C38" s="37">
        <f t="shared" si="1"/>
        <v>232</v>
      </c>
      <c r="D38" s="37">
        <f t="shared" si="0"/>
        <v>132</v>
      </c>
      <c r="E38" s="37"/>
      <c r="F38" s="37"/>
      <c r="G38" s="42">
        <f t="shared" si="2"/>
        <v>1900</v>
      </c>
      <c r="H38" s="45">
        <f t="shared" si="3"/>
        <v>1425</v>
      </c>
      <c r="I38" s="48" t="s">
        <v>239</v>
      </c>
    </row>
    <row r="39" spans="2:9" x14ac:dyDescent="0.3">
      <c r="B39" s="37" t="s">
        <v>182</v>
      </c>
      <c r="C39" s="37">
        <f t="shared" si="1"/>
        <v>233</v>
      </c>
      <c r="D39" s="37">
        <f t="shared" si="0"/>
        <v>133</v>
      </c>
      <c r="E39" s="37"/>
      <c r="F39" s="37"/>
      <c r="G39" s="42">
        <f t="shared" si="2"/>
        <v>1800</v>
      </c>
      <c r="H39" s="45">
        <f t="shared" si="3"/>
        <v>1350</v>
      </c>
      <c r="I39" s="48" t="s">
        <v>240</v>
      </c>
    </row>
    <row r="40" spans="2:9" x14ac:dyDescent="0.3">
      <c r="B40" s="37" t="s">
        <v>183</v>
      </c>
      <c r="C40" s="37">
        <f t="shared" si="1"/>
        <v>234</v>
      </c>
      <c r="D40" s="37">
        <f t="shared" si="0"/>
        <v>134</v>
      </c>
      <c r="E40" s="37"/>
      <c r="F40" s="37"/>
      <c r="G40" s="42">
        <f t="shared" si="2"/>
        <v>1700</v>
      </c>
      <c r="H40" s="45">
        <f t="shared" si="3"/>
        <v>1275</v>
      </c>
      <c r="I40" s="48" t="s">
        <v>241</v>
      </c>
    </row>
    <row r="41" spans="2:9" x14ac:dyDescent="0.3">
      <c r="B41" s="37" t="s">
        <v>184</v>
      </c>
      <c r="C41" s="37">
        <f t="shared" si="1"/>
        <v>235</v>
      </c>
      <c r="D41" s="37">
        <f t="shared" si="0"/>
        <v>135</v>
      </c>
      <c r="E41" s="37"/>
      <c r="F41" s="37"/>
      <c r="G41" s="42">
        <f t="shared" si="2"/>
        <v>1600</v>
      </c>
      <c r="H41" s="45">
        <f t="shared" si="3"/>
        <v>1200</v>
      </c>
      <c r="I41" s="48" t="s">
        <v>242</v>
      </c>
    </row>
    <row r="42" spans="2:9" x14ac:dyDescent="0.3">
      <c r="B42" s="37" t="s">
        <v>185</v>
      </c>
      <c r="C42" s="37">
        <f t="shared" si="1"/>
        <v>236</v>
      </c>
      <c r="D42" s="37">
        <f t="shared" si="0"/>
        <v>136</v>
      </c>
      <c r="E42" s="37"/>
      <c r="F42" s="37"/>
      <c r="G42" s="42">
        <f t="shared" si="2"/>
        <v>1500</v>
      </c>
      <c r="H42" s="45">
        <f t="shared" si="3"/>
        <v>1125</v>
      </c>
      <c r="I42" s="48" t="s">
        <v>243</v>
      </c>
    </row>
    <row r="43" spans="2:9" x14ac:dyDescent="0.3">
      <c r="B43" s="37" t="s">
        <v>193</v>
      </c>
      <c r="C43" s="37">
        <f t="shared" si="1"/>
        <v>237</v>
      </c>
      <c r="D43" s="37">
        <f t="shared" si="0"/>
        <v>137</v>
      </c>
      <c r="E43" s="37"/>
      <c r="F43" s="37"/>
      <c r="G43" s="42">
        <f t="shared" si="2"/>
        <v>1400</v>
      </c>
      <c r="H43" s="45">
        <f t="shared" si="3"/>
        <v>1050</v>
      </c>
      <c r="I43" s="48" t="s">
        <v>244</v>
      </c>
    </row>
    <row r="44" spans="2:9" x14ac:dyDescent="0.3">
      <c r="B44" s="37" t="s">
        <v>261</v>
      </c>
      <c r="C44" s="37">
        <f t="shared" si="1"/>
        <v>238</v>
      </c>
      <c r="D44" s="37">
        <f t="shared" si="0"/>
        <v>138</v>
      </c>
      <c r="E44" s="37"/>
      <c r="F44" s="37"/>
      <c r="G44" s="42">
        <f t="shared" si="2"/>
        <v>1300</v>
      </c>
      <c r="H44" s="45">
        <f t="shared" si="3"/>
        <v>975</v>
      </c>
      <c r="I44" s="48" t="s">
        <v>245</v>
      </c>
    </row>
    <row r="45" spans="2:9" x14ac:dyDescent="0.3">
      <c r="B45" s="37"/>
      <c r="C45" s="37">
        <f t="shared" si="1"/>
        <v>239</v>
      </c>
      <c r="D45" s="37">
        <f t="shared" si="0"/>
        <v>139</v>
      </c>
      <c r="E45" s="37"/>
      <c r="F45" s="37"/>
      <c r="G45" s="42">
        <f t="shared" si="2"/>
        <v>1200</v>
      </c>
      <c r="H45" s="45">
        <f t="shared" si="3"/>
        <v>900</v>
      </c>
      <c r="I45" s="48" t="s">
        <v>246</v>
      </c>
    </row>
    <row r="46" spans="2:9" x14ac:dyDescent="0.3">
      <c r="B46" s="37" t="s">
        <v>186</v>
      </c>
      <c r="C46" s="37">
        <f t="shared" si="1"/>
        <v>240</v>
      </c>
      <c r="D46" s="37">
        <f t="shared" si="0"/>
        <v>140</v>
      </c>
      <c r="E46" s="37"/>
      <c r="F46" s="37"/>
      <c r="G46" s="42">
        <f t="shared" si="2"/>
        <v>1100</v>
      </c>
      <c r="H46" s="45">
        <f t="shared" si="3"/>
        <v>825</v>
      </c>
      <c r="I46" s="48" t="s">
        <v>247</v>
      </c>
    </row>
    <row r="47" spans="2:9" x14ac:dyDescent="0.3">
      <c r="B47" s="37" t="s">
        <v>187</v>
      </c>
      <c r="C47" s="37">
        <f t="shared" si="1"/>
        <v>241</v>
      </c>
      <c r="D47" s="37">
        <f t="shared" si="0"/>
        <v>141</v>
      </c>
      <c r="E47" s="37"/>
      <c r="F47" s="37"/>
      <c r="G47" s="42">
        <f t="shared" si="2"/>
        <v>1000</v>
      </c>
      <c r="H47" s="45">
        <f t="shared" si="3"/>
        <v>750</v>
      </c>
      <c r="I47" s="48" t="s">
        <v>248</v>
      </c>
    </row>
    <row r="48" spans="2:9" x14ac:dyDescent="0.3">
      <c r="B48" s="37" t="s">
        <v>188</v>
      </c>
      <c r="C48" s="37">
        <f t="shared" si="1"/>
        <v>242</v>
      </c>
      <c r="D48" s="37">
        <f t="shared" si="0"/>
        <v>142</v>
      </c>
      <c r="E48" s="37"/>
      <c r="F48" s="37"/>
      <c r="G48" s="42">
        <f t="shared" si="2"/>
        <v>900</v>
      </c>
      <c r="H48" s="45">
        <f t="shared" si="3"/>
        <v>675</v>
      </c>
      <c r="I48" s="48" t="s">
        <v>249</v>
      </c>
    </row>
    <row r="49" spans="2:9" x14ac:dyDescent="0.3">
      <c r="B49" s="37" t="s">
        <v>189</v>
      </c>
      <c r="C49" s="37">
        <f t="shared" si="1"/>
        <v>243</v>
      </c>
      <c r="D49" s="37">
        <f t="shared" si="0"/>
        <v>143</v>
      </c>
      <c r="E49" s="37"/>
      <c r="F49" s="37"/>
      <c r="G49" s="42">
        <f t="shared" si="2"/>
        <v>800</v>
      </c>
      <c r="H49" s="45">
        <f t="shared" si="3"/>
        <v>600</v>
      </c>
      <c r="I49" s="48" t="s">
        <v>250</v>
      </c>
    </row>
    <row r="50" spans="2:9" x14ac:dyDescent="0.3">
      <c r="B50" s="37" t="s">
        <v>190</v>
      </c>
      <c r="C50" s="37">
        <f t="shared" si="1"/>
        <v>244</v>
      </c>
      <c r="D50" s="37">
        <f t="shared" si="0"/>
        <v>144</v>
      </c>
      <c r="E50" s="37"/>
      <c r="F50" s="37"/>
      <c r="G50" s="42">
        <f t="shared" si="2"/>
        <v>700</v>
      </c>
      <c r="H50" s="45">
        <f t="shared" si="3"/>
        <v>525</v>
      </c>
      <c r="I50" s="48" t="s">
        <v>251</v>
      </c>
    </row>
    <row r="51" spans="2:9" x14ac:dyDescent="0.3">
      <c r="B51" s="37" t="s">
        <v>191</v>
      </c>
      <c r="C51" s="37">
        <f t="shared" si="1"/>
        <v>245</v>
      </c>
      <c r="D51" s="37">
        <f t="shared" si="0"/>
        <v>145</v>
      </c>
      <c r="E51" s="37"/>
      <c r="F51" s="37"/>
      <c r="G51" s="42">
        <f t="shared" si="2"/>
        <v>600</v>
      </c>
      <c r="H51" s="45">
        <f t="shared" si="3"/>
        <v>450</v>
      </c>
      <c r="I51" s="48" t="s">
        <v>252</v>
      </c>
    </row>
    <row r="52" spans="2:9" x14ac:dyDescent="0.3">
      <c r="B52" s="37" t="s">
        <v>192</v>
      </c>
      <c r="C52" s="37">
        <f t="shared" si="1"/>
        <v>246</v>
      </c>
      <c r="D52" s="37">
        <f t="shared" si="0"/>
        <v>146</v>
      </c>
      <c r="E52" s="37"/>
      <c r="F52" s="37"/>
      <c r="G52" s="42">
        <f t="shared" si="2"/>
        <v>500</v>
      </c>
      <c r="H52" s="45">
        <f t="shared" si="3"/>
        <v>375</v>
      </c>
      <c r="I52" s="48" t="s">
        <v>253</v>
      </c>
    </row>
    <row r="53" spans="2:9" x14ac:dyDescent="0.3">
      <c r="B53" s="37"/>
      <c r="C53" s="37">
        <f t="shared" si="1"/>
        <v>247</v>
      </c>
      <c r="D53" s="37">
        <f t="shared" si="0"/>
        <v>147</v>
      </c>
      <c r="E53" s="37"/>
      <c r="F53" s="37"/>
      <c r="G53" s="42">
        <f t="shared" si="2"/>
        <v>400</v>
      </c>
      <c r="H53" s="45">
        <f t="shared" si="3"/>
        <v>300</v>
      </c>
      <c r="I53" s="48" t="s">
        <v>254</v>
      </c>
    </row>
    <row r="54" spans="2:9" x14ac:dyDescent="0.3">
      <c r="B54" s="37"/>
      <c r="C54" s="37"/>
      <c r="D54" s="37"/>
      <c r="E54" s="37"/>
      <c r="F54" s="37"/>
      <c r="G54" s="42">
        <f t="shared" si="2"/>
        <v>300</v>
      </c>
      <c r="H54" s="45">
        <f t="shared" si="3"/>
        <v>225</v>
      </c>
      <c r="I54" s="48" t="s">
        <v>255</v>
      </c>
    </row>
    <row r="55" spans="2:9" x14ac:dyDescent="0.3">
      <c r="B55" s="37"/>
      <c r="C55" s="37"/>
      <c r="D55" s="37"/>
      <c r="E55" s="37"/>
      <c r="F55" s="37"/>
      <c r="G55" s="42">
        <f t="shared" si="2"/>
        <v>200</v>
      </c>
      <c r="H55" s="45">
        <f t="shared" si="3"/>
        <v>150</v>
      </c>
      <c r="I55" s="48" t="s">
        <v>256</v>
      </c>
    </row>
    <row r="56" spans="2:9" x14ac:dyDescent="0.3">
      <c r="B56" s="37"/>
      <c r="C56" s="37"/>
      <c r="D56" s="37"/>
      <c r="E56" s="37"/>
      <c r="F56" s="37"/>
      <c r="G56" s="42">
        <f t="shared" si="2"/>
        <v>100</v>
      </c>
      <c r="H56" s="45">
        <f t="shared" si="3"/>
        <v>75</v>
      </c>
      <c r="I56" s="48" t="s">
        <v>257</v>
      </c>
    </row>
    <row r="57" spans="2:9" x14ac:dyDescent="0.3">
      <c r="B57" s="37" t="s">
        <v>207</v>
      </c>
      <c r="C57" s="37"/>
      <c r="D57" s="37"/>
      <c r="E57" s="37"/>
      <c r="F57" s="37"/>
      <c r="G57" s="42">
        <f>SUM(G7:G56)</f>
        <v>127500</v>
      </c>
      <c r="H57" s="45">
        <f t="shared" si="3"/>
        <v>95625</v>
      </c>
      <c r="I57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R23"/>
  <sheetViews>
    <sheetView topLeftCell="A7" workbookViewId="0">
      <selection activeCell="D27" sqref="D27"/>
    </sheetView>
  </sheetViews>
  <sheetFormatPr defaultRowHeight="14.4" x14ac:dyDescent="0.3"/>
  <cols>
    <col min="1" max="1" width="3.44140625" customWidth="1"/>
    <col min="4" max="18" width="10.6640625" customWidth="1"/>
  </cols>
  <sheetData>
    <row r="3" spans="2:18" ht="18" thickBot="1" x14ac:dyDescent="0.4">
      <c r="B3" s="1" t="s">
        <v>0</v>
      </c>
      <c r="C3" s="1"/>
      <c r="D3" s="1"/>
      <c r="E3" s="1"/>
      <c r="F3" s="1"/>
    </row>
    <row r="4" spans="2:18" ht="15" thickTop="1" x14ac:dyDescent="0.3"/>
    <row r="5" spans="2:18" x14ac:dyDescent="0.3">
      <c r="B5" s="9" t="s">
        <v>1</v>
      </c>
      <c r="C5" s="9" t="s">
        <v>75</v>
      </c>
      <c r="D5" s="9" t="s">
        <v>2</v>
      </c>
      <c r="E5" s="9">
        <v>1</v>
      </c>
      <c r="F5" s="9" t="s">
        <v>3</v>
      </c>
      <c r="G5" s="9">
        <v>5</v>
      </c>
      <c r="H5" s="9"/>
      <c r="I5" s="9" t="s">
        <v>4</v>
      </c>
      <c r="J5" s="10">
        <v>43101</v>
      </c>
      <c r="K5" s="9" t="s">
        <v>5</v>
      </c>
      <c r="L5" s="10">
        <v>43101</v>
      </c>
      <c r="M5" s="9" t="s">
        <v>42</v>
      </c>
      <c r="N5" s="10" t="s">
        <v>43</v>
      </c>
      <c r="O5" s="9" t="s">
        <v>13</v>
      </c>
      <c r="P5" s="10" t="s">
        <v>13</v>
      </c>
    </row>
    <row r="6" spans="2:18" x14ac:dyDescent="0.3">
      <c r="K6" t="s">
        <v>13</v>
      </c>
    </row>
    <row r="7" spans="2:18" x14ac:dyDescent="0.3">
      <c r="B7" s="3" t="s">
        <v>1</v>
      </c>
      <c r="C7" s="4" t="s">
        <v>13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16</v>
      </c>
      <c r="I7" s="4" t="s">
        <v>9</v>
      </c>
      <c r="J7" s="4" t="s">
        <v>14</v>
      </c>
      <c r="K7" s="4" t="s">
        <v>10</v>
      </c>
      <c r="L7" s="4" t="s">
        <v>11</v>
      </c>
      <c r="M7" s="4" t="s">
        <v>18</v>
      </c>
      <c r="N7" s="4" t="s">
        <v>16</v>
      </c>
      <c r="O7" s="4" t="s">
        <v>21</v>
      </c>
      <c r="P7" s="4" t="s">
        <v>23</v>
      </c>
      <c r="Q7" s="4" t="s">
        <v>24</v>
      </c>
      <c r="R7" s="4" t="s">
        <v>40</v>
      </c>
    </row>
    <row r="8" spans="2:18" x14ac:dyDescent="0.3">
      <c r="B8" s="3"/>
      <c r="C8" s="4"/>
      <c r="D8" s="4"/>
      <c r="E8" s="4" t="s">
        <v>12</v>
      </c>
      <c r="F8" s="4" t="s">
        <v>12</v>
      </c>
      <c r="G8" s="4" t="s">
        <v>12</v>
      </c>
      <c r="H8" s="4" t="s">
        <v>17</v>
      </c>
      <c r="I8" s="4" t="s">
        <v>15</v>
      </c>
      <c r="J8" s="4" t="s">
        <v>19</v>
      </c>
      <c r="K8" s="4" t="s">
        <v>15</v>
      </c>
      <c r="L8" s="4" t="s">
        <v>15</v>
      </c>
      <c r="M8" s="4" t="s">
        <v>15</v>
      </c>
      <c r="N8" s="4" t="s">
        <v>20</v>
      </c>
      <c r="O8" s="4" t="s">
        <v>22</v>
      </c>
      <c r="P8" s="4" t="s">
        <v>22</v>
      </c>
      <c r="Q8" s="4" t="s">
        <v>22</v>
      </c>
      <c r="R8" s="4" t="s">
        <v>41</v>
      </c>
    </row>
    <row r="9" spans="2:18" x14ac:dyDescent="0.3">
      <c r="B9" s="5" t="s">
        <v>25</v>
      </c>
      <c r="C9" s="11" t="s">
        <v>13</v>
      </c>
      <c r="D9" s="18">
        <f>'DETAILED-SP'!D22</f>
        <v>19</v>
      </c>
      <c r="E9" s="18">
        <f>'DETAILED-SP'!E22</f>
        <v>38000</v>
      </c>
      <c r="F9" s="18">
        <f>'DETAILED-SP'!F22</f>
        <v>18000</v>
      </c>
      <c r="G9" s="18">
        <f>'DETAILED-SP'!G22</f>
        <v>3800</v>
      </c>
      <c r="H9" s="8">
        <f>SUM(E9:G9)</f>
        <v>59800</v>
      </c>
      <c r="I9" s="18">
        <f>'DETAILED-SP'!I22</f>
        <v>30400</v>
      </c>
      <c r="J9" s="18">
        <f>'DETAILED-SP'!J22</f>
        <v>-760</v>
      </c>
      <c r="K9" s="18">
        <f>'DETAILED-SP'!K22</f>
        <v>12600</v>
      </c>
      <c r="L9" s="18">
        <f>'DETAILED-SP'!L22</f>
        <v>1900</v>
      </c>
      <c r="M9" s="8">
        <f>SUM(I9:L9)</f>
        <v>44140</v>
      </c>
      <c r="N9" s="12">
        <f>H9-M9</f>
        <v>15660</v>
      </c>
      <c r="O9" s="6">
        <f>'DETAILED-SP'!O22</f>
        <v>3147.3684210526317</v>
      </c>
      <c r="P9" s="6">
        <f>'DETAILED-SP'!P22</f>
        <v>2323.1578947368421</v>
      </c>
      <c r="Q9" s="6">
        <f>'DETAILED-SP'!Q22</f>
        <v>824.21052631578948</v>
      </c>
      <c r="R9" s="15">
        <f>Q9/O9</f>
        <v>0.26187290969899663</v>
      </c>
    </row>
    <row r="10" spans="2:18" x14ac:dyDescent="0.3">
      <c r="B10" s="5" t="s">
        <v>45</v>
      </c>
      <c r="C10" s="11" t="s">
        <v>13</v>
      </c>
      <c r="D10" s="18">
        <f>'DETAILED-SP'!D45</f>
        <v>19</v>
      </c>
      <c r="E10" s="18">
        <f>'DETAILED-SP'!E45</f>
        <v>38000</v>
      </c>
      <c r="F10" s="18">
        <f>'DETAILED-SP'!F45</f>
        <v>18000</v>
      </c>
      <c r="G10" s="18">
        <f>'DETAILED-SP'!G45</f>
        <v>3800</v>
      </c>
      <c r="H10" s="8">
        <f t="shared" ref="H10:H22" si="0">SUM(E10:G10)</f>
        <v>59800</v>
      </c>
      <c r="I10" s="18">
        <f>'DETAILED-SP'!I45</f>
        <v>30400</v>
      </c>
      <c r="J10" s="18">
        <f>'DETAILED-SP'!J45</f>
        <v>-760</v>
      </c>
      <c r="K10" s="18">
        <f>'DETAILED-SP'!K45</f>
        <v>12600</v>
      </c>
      <c r="L10" s="18">
        <f>'DETAILED-SP'!L45</f>
        <v>1900</v>
      </c>
      <c r="M10" s="8">
        <f t="shared" ref="M10:M22" si="1">SUM(I10:L10)</f>
        <v>44140</v>
      </c>
      <c r="N10" s="12">
        <f t="shared" ref="N10:N22" si="2">H10-M10</f>
        <v>15660</v>
      </c>
      <c r="O10" s="6">
        <f t="shared" ref="O10:O14" si="3">H10/D10</f>
        <v>3147.3684210526317</v>
      </c>
      <c r="P10" s="6">
        <f t="shared" ref="P10:P14" si="4">M10/D10</f>
        <v>2323.1578947368421</v>
      </c>
      <c r="Q10" s="6">
        <f t="shared" ref="Q10:Q14" si="5">N10/D10</f>
        <v>824.21052631578948</v>
      </c>
      <c r="R10" s="15">
        <f t="shared" ref="R10:R23" si="6">Q10/O10</f>
        <v>0.26187290969899663</v>
      </c>
    </row>
    <row r="11" spans="2:18" x14ac:dyDescent="0.3">
      <c r="B11" s="5" t="s">
        <v>76</v>
      </c>
      <c r="C11" s="11" t="s">
        <v>13</v>
      </c>
      <c r="D11" s="18">
        <f>'DETAILED-SP'!D66</f>
        <v>19</v>
      </c>
      <c r="E11" s="18">
        <f>'DETAILED-SP'!E66</f>
        <v>38000</v>
      </c>
      <c r="F11" s="18">
        <f>'DETAILED-SP'!F66</f>
        <v>18000</v>
      </c>
      <c r="G11" s="18">
        <f>'DETAILED-SP'!G66</f>
        <v>3800</v>
      </c>
      <c r="H11" s="8">
        <f t="shared" si="0"/>
        <v>59800</v>
      </c>
      <c r="I11" s="18">
        <f>'DETAILED-SP'!I66</f>
        <v>30400</v>
      </c>
      <c r="J11" s="18">
        <f>'DETAILED-SP'!J66</f>
        <v>-760</v>
      </c>
      <c r="K11" s="18">
        <f>'DETAILED-SP'!K66</f>
        <v>12600</v>
      </c>
      <c r="L11" s="18">
        <f>'DETAILED-SP'!L66</f>
        <v>1900</v>
      </c>
      <c r="M11" s="8">
        <f t="shared" si="1"/>
        <v>44140</v>
      </c>
      <c r="N11" s="12">
        <f t="shared" si="2"/>
        <v>15660</v>
      </c>
      <c r="O11" s="6">
        <f t="shared" si="3"/>
        <v>3147.3684210526317</v>
      </c>
      <c r="P11" s="6">
        <f t="shared" si="4"/>
        <v>2323.1578947368421</v>
      </c>
      <c r="Q11" s="6">
        <f t="shared" si="5"/>
        <v>824.21052631578948</v>
      </c>
      <c r="R11" s="15">
        <f t="shared" si="6"/>
        <v>0.26187290969899663</v>
      </c>
    </row>
    <row r="12" spans="2:18" x14ac:dyDescent="0.3">
      <c r="B12" s="5" t="s">
        <v>77</v>
      </c>
      <c r="C12" s="11" t="s">
        <v>13</v>
      </c>
      <c r="D12" s="11">
        <v>0</v>
      </c>
      <c r="E12" s="6">
        <v>0</v>
      </c>
      <c r="F12" s="6">
        <v>0</v>
      </c>
      <c r="G12" s="6">
        <v>0</v>
      </c>
      <c r="H12" s="8">
        <f t="shared" si="0"/>
        <v>0</v>
      </c>
      <c r="I12" s="6">
        <f t="shared" ref="I12:I22" si="7">E12*0.8</f>
        <v>0</v>
      </c>
      <c r="J12" s="6">
        <f t="shared" ref="J12:J22" si="8">I12*0.025*-1</f>
        <v>0</v>
      </c>
      <c r="K12" s="6">
        <f t="shared" ref="K12:K22" si="9">F12*0.7</f>
        <v>0</v>
      </c>
      <c r="L12" s="6">
        <f t="shared" ref="L12:L22" si="10">G12*0.5</f>
        <v>0</v>
      </c>
      <c r="M12" s="8">
        <f t="shared" si="1"/>
        <v>0</v>
      </c>
      <c r="N12" s="12">
        <f t="shared" si="2"/>
        <v>0</v>
      </c>
      <c r="O12" s="6" t="e">
        <f t="shared" si="3"/>
        <v>#DIV/0!</v>
      </c>
      <c r="P12" s="6" t="e">
        <f t="shared" si="4"/>
        <v>#DIV/0!</v>
      </c>
      <c r="Q12" s="6" t="e">
        <f t="shared" si="5"/>
        <v>#DIV/0!</v>
      </c>
      <c r="R12" s="15" t="e">
        <f t="shared" si="6"/>
        <v>#DIV/0!</v>
      </c>
    </row>
    <row r="13" spans="2:18" x14ac:dyDescent="0.3">
      <c r="B13" s="5" t="s">
        <v>78</v>
      </c>
      <c r="C13" s="11" t="s">
        <v>13</v>
      </c>
      <c r="D13" s="11">
        <v>0</v>
      </c>
      <c r="E13" s="6">
        <v>0</v>
      </c>
      <c r="F13" s="6">
        <v>0</v>
      </c>
      <c r="G13" s="6">
        <v>0</v>
      </c>
      <c r="H13" s="8">
        <f t="shared" si="0"/>
        <v>0</v>
      </c>
      <c r="I13" s="6">
        <f t="shared" si="7"/>
        <v>0</v>
      </c>
      <c r="J13" s="6">
        <f t="shared" si="8"/>
        <v>0</v>
      </c>
      <c r="K13" s="6">
        <f t="shared" si="9"/>
        <v>0</v>
      </c>
      <c r="L13" s="6">
        <f t="shared" si="10"/>
        <v>0</v>
      </c>
      <c r="M13" s="8">
        <f t="shared" si="1"/>
        <v>0</v>
      </c>
      <c r="N13" s="12">
        <f t="shared" si="2"/>
        <v>0</v>
      </c>
      <c r="O13" s="6" t="e">
        <f t="shared" si="3"/>
        <v>#DIV/0!</v>
      </c>
      <c r="P13" s="6" t="e">
        <f t="shared" si="4"/>
        <v>#DIV/0!</v>
      </c>
      <c r="Q13" s="6" t="e">
        <f t="shared" si="5"/>
        <v>#DIV/0!</v>
      </c>
      <c r="R13" s="15" t="e">
        <f t="shared" si="6"/>
        <v>#DIV/0!</v>
      </c>
    </row>
    <row r="14" spans="2:18" x14ac:dyDescent="0.3">
      <c r="B14" s="5" t="s">
        <v>79</v>
      </c>
      <c r="C14" s="11" t="s">
        <v>13</v>
      </c>
      <c r="D14" s="11">
        <v>0</v>
      </c>
      <c r="E14" s="6">
        <v>0</v>
      </c>
      <c r="F14" s="6">
        <v>0</v>
      </c>
      <c r="G14" s="6">
        <v>0</v>
      </c>
      <c r="H14" s="8">
        <f t="shared" si="0"/>
        <v>0</v>
      </c>
      <c r="I14" s="6">
        <f t="shared" si="7"/>
        <v>0</v>
      </c>
      <c r="J14" s="6">
        <f t="shared" si="8"/>
        <v>0</v>
      </c>
      <c r="K14" s="6">
        <f t="shared" si="9"/>
        <v>0</v>
      </c>
      <c r="L14" s="6">
        <f t="shared" si="10"/>
        <v>0</v>
      </c>
      <c r="M14" s="8">
        <f t="shared" si="1"/>
        <v>0</v>
      </c>
      <c r="N14" s="12">
        <f t="shared" si="2"/>
        <v>0</v>
      </c>
      <c r="O14" s="6" t="e">
        <f t="shared" si="3"/>
        <v>#DIV/0!</v>
      </c>
      <c r="P14" s="6" t="e">
        <f t="shared" si="4"/>
        <v>#DIV/0!</v>
      </c>
      <c r="Q14" s="6" t="e">
        <f t="shared" si="5"/>
        <v>#DIV/0!</v>
      </c>
      <c r="R14" s="15" t="e">
        <f t="shared" si="6"/>
        <v>#DIV/0!</v>
      </c>
    </row>
    <row r="15" spans="2:18" x14ac:dyDescent="0.3">
      <c r="B15" s="5" t="s">
        <v>80</v>
      </c>
      <c r="C15" s="11" t="s">
        <v>13</v>
      </c>
      <c r="D15" s="11">
        <v>0</v>
      </c>
      <c r="E15" s="6">
        <v>0</v>
      </c>
      <c r="F15" s="6">
        <v>0</v>
      </c>
      <c r="G15" s="6">
        <v>0</v>
      </c>
      <c r="H15" s="8">
        <f t="shared" si="0"/>
        <v>0</v>
      </c>
      <c r="I15" s="6">
        <f t="shared" si="7"/>
        <v>0</v>
      </c>
      <c r="J15" s="6">
        <f t="shared" si="8"/>
        <v>0</v>
      </c>
      <c r="K15" s="6">
        <f t="shared" si="9"/>
        <v>0</v>
      </c>
      <c r="L15" s="6">
        <f t="shared" si="10"/>
        <v>0</v>
      </c>
      <c r="M15" s="8">
        <f t="shared" si="1"/>
        <v>0</v>
      </c>
      <c r="N15" s="12">
        <f t="shared" si="2"/>
        <v>0</v>
      </c>
      <c r="O15" s="6" t="e">
        <f t="shared" ref="O15:O22" si="11">H15/D15</f>
        <v>#DIV/0!</v>
      </c>
      <c r="P15" s="6" t="e">
        <f t="shared" ref="P15:P22" si="12">M15/D15</f>
        <v>#DIV/0!</v>
      </c>
      <c r="Q15" s="6" t="e">
        <f t="shared" ref="Q15:Q22" si="13">N15/D15</f>
        <v>#DIV/0!</v>
      </c>
      <c r="R15" s="15" t="e">
        <f t="shared" si="6"/>
        <v>#DIV/0!</v>
      </c>
    </row>
    <row r="16" spans="2:18" x14ac:dyDescent="0.3">
      <c r="B16" s="5" t="s">
        <v>81</v>
      </c>
      <c r="C16" s="11" t="s">
        <v>13</v>
      </c>
      <c r="D16" s="11">
        <v>0</v>
      </c>
      <c r="E16" s="6">
        <v>0</v>
      </c>
      <c r="F16" s="6">
        <v>0</v>
      </c>
      <c r="G16" s="6">
        <v>0</v>
      </c>
      <c r="H16" s="8">
        <f t="shared" si="0"/>
        <v>0</v>
      </c>
      <c r="I16" s="6">
        <f t="shared" si="7"/>
        <v>0</v>
      </c>
      <c r="J16" s="6">
        <f t="shared" si="8"/>
        <v>0</v>
      </c>
      <c r="K16" s="6">
        <f t="shared" si="9"/>
        <v>0</v>
      </c>
      <c r="L16" s="6">
        <f t="shared" si="10"/>
        <v>0</v>
      </c>
      <c r="M16" s="8">
        <f t="shared" si="1"/>
        <v>0</v>
      </c>
      <c r="N16" s="12">
        <f t="shared" si="2"/>
        <v>0</v>
      </c>
      <c r="O16" s="6" t="e">
        <f t="shared" si="11"/>
        <v>#DIV/0!</v>
      </c>
      <c r="P16" s="6" t="e">
        <f t="shared" si="12"/>
        <v>#DIV/0!</v>
      </c>
      <c r="Q16" s="6" t="e">
        <f t="shared" si="13"/>
        <v>#DIV/0!</v>
      </c>
      <c r="R16" s="15" t="e">
        <f t="shared" si="6"/>
        <v>#DIV/0!</v>
      </c>
    </row>
    <row r="17" spans="2:18" x14ac:dyDescent="0.3">
      <c r="B17" s="5" t="s">
        <v>82</v>
      </c>
      <c r="C17" s="11" t="s">
        <v>13</v>
      </c>
      <c r="D17" s="11">
        <v>0</v>
      </c>
      <c r="E17" s="6">
        <v>0</v>
      </c>
      <c r="F17" s="6">
        <v>0</v>
      </c>
      <c r="G17" s="6">
        <v>0</v>
      </c>
      <c r="H17" s="8">
        <f t="shared" si="0"/>
        <v>0</v>
      </c>
      <c r="I17" s="6">
        <f t="shared" si="7"/>
        <v>0</v>
      </c>
      <c r="J17" s="6">
        <f t="shared" si="8"/>
        <v>0</v>
      </c>
      <c r="K17" s="6">
        <f t="shared" si="9"/>
        <v>0</v>
      </c>
      <c r="L17" s="6">
        <f t="shared" si="10"/>
        <v>0</v>
      </c>
      <c r="M17" s="8">
        <f t="shared" si="1"/>
        <v>0</v>
      </c>
      <c r="N17" s="12">
        <f t="shared" si="2"/>
        <v>0</v>
      </c>
      <c r="O17" s="6" t="e">
        <f t="shared" si="11"/>
        <v>#DIV/0!</v>
      </c>
      <c r="P17" s="6" t="e">
        <f t="shared" si="12"/>
        <v>#DIV/0!</v>
      </c>
      <c r="Q17" s="6" t="e">
        <f t="shared" si="13"/>
        <v>#DIV/0!</v>
      </c>
      <c r="R17" s="15" t="e">
        <f t="shared" si="6"/>
        <v>#DIV/0!</v>
      </c>
    </row>
    <row r="18" spans="2:18" x14ac:dyDescent="0.3">
      <c r="B18" s="5" t="s">
        <v>83</v>
      </c>
      <c r="C18" s="11" t="s">
        <v>13</v>
      </c>
      <c r="D18" s="11">
        <v>0</v>
      </c>
      <c r="E18" s="6">
        <v>0</v>
      </c>
      <c r="F18" s="6">
        <v>0</v>
      </c>
      <c r="G18" s="6">
        <v>0</v>
      </c>
      <c r="H18" s="8">
        <f t="shared" si="0"/>
        <v>0</v>
      </c>
      <c r="I18" s="6">
        <f t="shared" si="7"/>
        <v>0</v>
      </c>
      <c r="J18" s="6">
        <f t="shared" si="8"/>
        <v>0</v>
      </c>
      <c r="K18" s="6">
        <f t="shared" si="9"/>
        <v>0</v>
      </c>
      <c r="L18" s="6">
        <f t="shared" si="10"/>
        <v>0</v>
      </c>
      <c r="M18" s="8">
        <f t="shared" si="1"/>
        <v>0</v>
      </c>
      <c r="N18" s="12">
        <f t="shared" si="2"/>
        <v>0</v>
      </c>
      <c r="O18" s="6" t="e">
        <f t="shared" si="11"/>
        <v>#DIV/0!</v>
      </c>
      <c r="P18" s="6" t="e">
        <f t="shared" si="12"/>
        <v>#DIV/0!</v>
      </c>
      <c r="Q18" s="6" t="e">
        <f t="shared" si="13"/>
        <v>#DIV/0!</v>
      </c>
      <c r="R18" s="15" t="e">
        <f t="shared" si="6"/>
        <v>#DIV/0!</v>
      </c>
    </row>
    <row r="19" spans="2:18" x14ac:dyDescent="0.3">
      <c r="B19" s="5" t="s">
        <v>84</v>
      </c>
      <c r="C19" s="11" t="s">
        <v>13</v>
      </c>
      <c r="D19" s="11">
        <v>0</v>
      </c>
      <c r="E19" s="6">
        <v>0</v>
      </c>
      <c r="F19" s="6">
        <v>0</v>
      </c>
      <c r="G19" s="6">
        <v>0</v>
      </c>
      <c r="H19" s="8">
        <f t="shared" si="0"/>
        <v>0</v>
      </c>
      <c r="I19" s="6">
        <f t="shared" si="7"/>
        <v>0</v>
      </c>
      <c r="J19" s="6">
        <f t="shared" si="8"/>
        <v>0</v>
      </c>
      <c r="K19" s="6">
        <f t="shared" si="9"/>
        <v>0</v>
      </c>
      <c r="L19" s="6">
        <f t="shared" si="10"/>
        <v>0</v>
      </c>
      <c r="M19" s="8">
        <f t="shared" si="1"/>
        <v>0</v>
      </c>
      <c r="N19" s="12">
        <f t="shared" si="2"/>
        <v>0</v>
      </c>
      <c r="O19" s="6" t="e">
        <f t="shared" si="11"/>
        <v>#DIV/0!</v>
      </c>
      <c r="P19" s="6" t="e">
        <f t="shared" si="12"/>
        <v>#DIV/0!</v>
      </c>
      <c r="Q19" s="6" t="e">
        <f t="shared" si="13"/>
        <v>#DIV/0!</v>
      </c>
      <c r="R19" s="15" t="e">
        <f t="shared" si="6"/>
        <v>#DIV/0!</v>
      </c>
    </row>
    <row r="20" spans="2:18" x14ac:dyDescent="0.3">
      <c r="B20" s="5" t="s">
        <v>13</v>
      </c>
      <c r="C20" s="11" t="s">
        <v>13</v>
      </c>
      <c r="D20" s="11">
        <v>0</v>
      </c>
      <c r="E20" s="6">
        <v>0</v>
      </c>
      <c r="F20" s="6">
        <v>0</v>
      </c>
      <c r="G20" s="6">
        <v>0</v>
      </c>
      <c r="H20" s="8">
        <f t="shared" si="0"/>
        <v>0</v>
      </c>
      <c r="I20" s="6">
        <f t="shared" si="7"/>
        <v>0</v>
      </c>
      <c r="J20" s="6">
        <f t="shared" si="8"/>
        <v>0</v>
      </c>
      <c r="K20" s="6">
        <f t="shared" si="9"/>
        <v>0</v>
      </c>
      <c r="L20" s="6">
        <f t="shared" si="10"/>
        <v>0</v>
      </c>
      <c r="M20" s="8">
        <f t="shared" si="1"/>
        <v>0</v>
      </c>
      <c r="N20" s="12">
        <f t="shared" si="2"/>
        <v>0</v>
      </c>
      <c r="O20" s="6" t="e">
        <f t="shared" si="11"/>
        <v>#DIV/0!</v>
      </c>
      <c r="P20" s="6" t="e">
        <f t="shared" si="12"/>
        <v>#DIV/0!</v>
      </c>
      <c r="Q20" s="6" t="e">
        <f t="shared" si="13"/>
        <v>#DIV/0!</v>
      </c>
      <c r="R20" s="15" t="e">
        <f t="shared" si="6"/>
        <v>#DIV/0!</v>
      </c>
    </row>
    <row r="21" spans="2:18" x14ac:dyDescent="0.3">
      <c r="B21" s="5" t="s">
        <v>13</v>
      </c>
      <c r="C21" s="11" t="s">
        <v>13</v>
      </c>
      <c r="D21" s="11">
        <v>0</v>
      </c>
      <c r="E21" s="6">
        <v>0</v>
      </c>
      <c r="F21" s="6">
        <v>0</v>
      </c>
      <c r="G21" s="6">
        <v>0</v>
      </c>
      <c r="H21" s="8">
        <f t="shared" si="0"/>
        <v>0</v>
      </c>
      <c r="I21" s="6">
        <f t="shared" si="7"/>
        <v>0</v>
      </c>
      <c r="J21" s="6">
        <f t="shared" si="8"/>
        <v>0</v>
      </c>
      <c r="K21" s="6">
        <f t="shared" si="9"/>
        <v>0</v>
      </c>
      <c r="L21" s="6">
        <f t="shared" si="10"/>
        <v>0</v>
      </c>
      <c r="M21" s="8">
        <f t="shared" si="1"/>
        <v>0</v>
      </c>
      <c r="N21" s="12">
        <f t="shared" si="2"/>
        <v>0</v>
      </c>
      <c r="O21" s="6" t="e">
        <f t="shared" si="11"/>
        <v>#DIV/0!</v>
      </c>
      <c r="P21" s="6" t="e">
        <f t="shared" si="12"/>
        <v>#DIV/0!</v>
      </c>
      <c r="Q21" s="6" t="e">
        <f t="shared" si="13"/>
        <v>#DIV/0!</v>
      </c>
      <c r="R21" s="15" t="e">
        <f t="shared" si="6"/>
        <v>#DIV/0!</v>
      </c>
    </row>
    <row r="22" spans="2:18" x14ac:dyDescent="0.3">
      <c r="B22" s="5" t="s">
        <v>13</v>
      </c>
      <c r="C22" s="11" t="s">
        <v>13</v>
      </c>
      <c r="D22" s="11">
        <v>0</v>
      </c>
      <c r="E22" s="6">
        <v>0</v>
      </c>
      <c r="F22" s="6">
        <v>0</v>
      </c>
      <c r="G22" s="6">
        <v>0</v>
      </c>
      <c r="H22" s="8">
        <f t="shared" si="0"/>
        <v>0</v>
      </c>
      <c r="I22" s="6">
        <f t="shared" si="7"/>
        <v>0</v>
      </c>
      <c r="J22" s="6">
        <f t="shared" si="8"/>
        <v>0</v>
      </c>
      <c r="K22" s="6">
        <f t="shared" si="9"/>
        <v>0</v>
      </c>
      <c r="L22" s="6">
        <f t="shared" si="10"/>
        <v>0</v>
      </c>
      <c r="M22" s="8">
        <f t="shared" si="1"/>
        <v>0</v>
      </c>
      <c r="N22" s="12">
        <f t="shared" si="2"/>
        <v>0</v>
      </c>
      <c r="O22" s="6" t="e">
        <f t="shared" si="11"/>
        <v>#DIV/0!</v>
      </c>
      <c r="P22" s="6" t="e">
        <f t="shared" si="12"/>
        <v>#DIV/0!</v>
      </c>
      <c r="Q22" s="6" t="e">
        <f t="shared" si="13"/>
        <v>#DIV/0!</v>
      </c>
      <c r="R22" s="15" t="e">
        <f t="shared" si="6"/>
        <v>#DIV/0!</v>
      </c>
    </row>
    <row r="23" spans="2:18" x14ac:dyDescent="0.3">
      <c r="B23" s="13" t="s">
        <v>44</v>
      </c>
      <c r="C23" s="14" t="str">
        <f>C5</f>
        <v>ALL</v>
      </c>
      <c r="D23" s="14">
        <f>SUM(D9:D22)</f>
        <v>57</v>
      </c>
      <c r="E23" s="14">
        <f t="shared" ref="E23:N23" si="14">SUM(E9:E22)</f>
        <v>114000</v>
      </c>
      <c r="F23" s="14">
        <f t="shared" si="14"/>
        <v>54000</v>
      </c>
      <c r="G23" s="14">
        <f t="shared" si="14"/>
        <v>11400</v>
      </c>
      <c r="H23" s="14">
        <f t="shared" si="14"/>
        <v>179400</v>
      </c>
      <c r="I23" s="14">
        <f t="shared" si="14"/>
        <v>91200</v>
      </c>
      <c r="J23" s="14">
        <f t="shared" si="14"/>
        <v>-2280</v>
      </c>
      <c r="K23" s="14">
        <f t="shared" si="14"/>
        <v>37800</v>
      </c>
      <c r="L23" s="14">
        <f t="shared" si="14"/>
        <v>5700</v>
      </c>
      <c r="M23" s="14">
        <f t="shared" si="14"/>
        <v>132420</v>
      </c>
      <c r="N23" s="17">
        <f t="shared" si="14"/>
        <v>46980</v>
      </c>
      <c r="O23" s="14">
        <f>H23/D23</f>
        <v>3147.3684210526317</v>
      </c>
      <c r="P23" s="14">
        <f>M23/D23</f>
        <v>2323.1578947368421</v>
      </c>
      <c r="Q23" s="14">
        <f>N23/D23</f>
        <v>824.21052631578948</v>
      </c>
      <c r="R23" s="19">
        <f t="shared" si="6"/>
        <v>0.26187290969899663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20"/>
  <sheetViews>
    <sheetView workbookViewId="0">
      <selection activeCell="F1" sqref="F1"/>
    </sheetView>
  </sheetViews>
  <sheetFormatPr defaultRowHeight="14.4" x14ac:dyDescent="0.3"/>
  <cols>
    <col min="1" max="1" width="2.6640625" customWidth="1"/>
    <col min="2" max="2" width="15.5546875" customWidth="1"/>
    <col min="3" max="3" width="10.6640625" customWidth="1"/>
    <col min="4" max="16" width="12.6640625" customWidth="1"/>
  </cols>
  <sheetData>
    <row r="2" spans="2:16" ht="18" thickBot="1" x14ac:dyDescent="0.4">
      <c r="B2" s="1" t="s">
        <v>0</v>
      </c>
      <c r="C2" s="1"/>
      <c r="D2" s="1"/>
      <c r="E2" s="1"/>
      <c r="F2" s="1"/>
      <c r="G2" s="1"/>
      <c r="H2" s="1" t="s">
        <v>85</v>
      </c>
      <c r="I2" s="1"/>
      <c r="J2" s="1"/>
      <c r="K2" s="1"/>
      <c r="L2" s="1"/>
    </row>
    <row r="3" spans="2:16" ht="15" thickTop="1" x14ac:dyDescent="0.3"/>
    <row r="4" spans="2:16" ht="15" thickBot="1" x14ac:dyDescent="0.35">
      <c r="B4" s="20" t="s">
        <v>1</v>
      </c>
      <c r="C4" s="20" t="s">
        <v>25</v>
      </c>
      <c r="D4" s="20" t="s">
        <v>2</v>
      </c>
      <c r="E4" s="20">
        <v>1</v>
      </c>
      <c r="F4" s="20" t="s">
        <v>3</v>
      </c>
      <c r="G4" s="20">
        <v>5</v>
      </c>
      <c r="H4" s="20"/>
      <c r="I4" s="20" t="s">
        <v>4</v>
      </c>
      <c r="J4" s="21">
        <v>43101</v>
      </c>
      <c r="K4" s="20" t="s">
        <v>5</v>
      </c>
      <c r="L4" s="21">
        <v>43101</v>
      </c>
      <c r="M4" s="20" t="s">
        <v>42</v>
      </c>
      <c r="N4" s="21" t="s">
        <v>43</v>
      </c>
      <c r="O4" s="20" t="s">
        <v>13</v>
      </c>
      <c r="P4" s="21" t="s">
        <v>13</v>
      </c>
    </row>
    <row r="5" spans="2:16" ht="15" thickBot="1" x14ac:dyDescent="0.35">
      <c r="B5" s="23" t="s">
        <v>95</v>
      </c>
      <c r="C5" s="24"/>
      <c r="D5" s="25" t="s">
        <v>96</v>
      </c>
      <c r="E5" s="25" t="s">
        <v>97</v>
      </c>
      <c r="F5" s="25" t="s">
        <v>98</v>
      </c>
      <c r="G5" s="25" t="s">
        <v>99</v>
      </c>
      <c r="H5" s="25" t="s">
        <v>100</v>
      </c>
      <c r="I5" s="25" t="s">
        <v>101</v>
      </c>
      <c r="J5" s="25" t="s">
        <v>102</v>
      </c>
      <c r="K5" s="25" t="s">
        <v>103</v>
      </c>
      <c r="L5" s="25" t="s">
        <v>104</v>
      </c>
      <c r="M5" s="25" t="s">
        <v>106</v>
      </c>
      <c r="N5" s="25"/>
      <c r="O5" s="25"/>
      <c r="P5" s="26"/>
    </row>
    <row r="6" spans="2:16" x14ac:dyDescent="0.3">
      <c r="B6" s="22" t="s">
        <v>86</v>
      </c>
      <c r="C6" s="22" t="s">
        <v>87</v>
      </c>
      <c r="D6" s="28">
        <f>'SUMMARIED-TOTAL'!N9/8</f>
        <v>1957.5</v>
      </c>
      <c r="E6" s="28">
        <f>D6*0.05</f>
        <v>97.875</v>
      </c>
      <c r="F6" s="28">
        <f>D6-E6</f>
        <v>1859.625</v>
      </c>
      <c r="G6" s="30">
        <v>0.2</v>
      </c>
      <c r="H6" s="28">
        <f>F6*G6</f>
        <v>371.92500000000001</v>
      </c>
      <c r="I6" s="30">
        <v>1</v>
      </c>
      <c r="J6" s="30">
        <v>0</v>
      </c>
      <c r="K6" s="28">
        <f>H6*I6</f>
        <v>371.92500000000001</v>
      </c>
      <c r="L6" s="28">
        <f>H6*J6</f>
        <v>0</v>
      </c>
      <c r="M6" s="28">
        <f>SUM(K6:L6)</f>
        <v>371.92500000000001</v>
      </c>
      <c r="N6" s="22"/>
      <c r="O6" s="22"/>
      <c r="P6" s="22"/>
    </row>
    <row r="7" spans="2:16" x14ac:dyDescent="0.3">
      <c r="B7" s="2" t="s">
        <v>86</v>
      </c>
      <c r="C7" s="2" t="s">
        <v>88</v>
      </c>
      <c r="D7" s="7">
        <f>D6</f>
        <v>1957.5</v>
      </c>
      <c r="E7" s="28">
        <f t="shared" ref="E7:E13" si="0">D7*0.05</f>
        <v>97.875</v>
      </c>
      <c r="F7" s="28">
        <f t="shared" ref="F7:F13" si="1">D7-E7</f>
        <v>1859.625</v>
      </c>
      <c r="G7" s="15">
        <v>0.2</v>
      </c>
      <c r="H7" s="28">
        <f t="shared" ref="H7:H13" si="2">F7*G7</f>
        <v>371.92500000000001</v>
      </c>
      <c r="I7" s="15">
        <v>1</v>
      </c>
      <c r="J7" s="15">
        <v>0</v>
      </c>
      <c r="K7" s="28">
        <f t="shared" ref="K7:K13" si="3">H7*I7</f>
        <v>371.92500000000001</v>
      </c>
      <c r="L7" s="28">
        <f t="shared" ref="L7:L13" si="4">H7*J7</f>
        <v>0</v>
      </c>
      <c r="M7" s="28">
        <f t="shared" ref="M7:M13" si="5">SUM(K7:L7)</f>
        <v>371.92500000000001</v>
      </c>
      <c r="N7" s="2"/>
      <c r="O7" s="2"/>
      <c r="P7" s="2"/>
    </row>
    <row r="8" spans="2:16" x14ac:dyDescent="0.3">
      <c r="B8" s="2" t="s">
        <v>86</v>
      </c>
      <c r="C8" s="2" t="s">
        <v>89</v>
      </c>
      <c r="D8" s="7">
        <f t="shared" ref="D8:D13" si="6">D7</f>
        <v>1957.5</v>
      </c>
      <c r="E8" s="28">
        <f t="shared" si="0"/>
        <v>97.875</v>
      </c>
      <c r="F8" s="28">
        <f t="shared" si="1"/>
        <v>1859.625</v>
      </c>
      <c r="G8" s="15">
        <v>0.2</v>
      </c>
      <c r="H8" s="28">
        <f t="shared" si="2"/>
        <v>371.92500000000001</v>
      </c>
      <c r="I8" s="15">
        <v>1</v>
      </c>
      <c r="J8" s="15">
        <v>0</v>
      </c>
      <c r="K8" s="28">
        <f t="shared" si="3"/>
        <v>371.92500000000001</v>
      </c>
      <c r="L8" s="28">
        <f t="shared" si="4"/>
        <v>0</v>
      </c>
      <c r="M8" s="28">
        <f t="shared" si="5"/>
        <v>371.92500000000001</v>
      </c>
      <c r="N8" s="2"/>
      <c r="O8" s="2"/>
      <c r="P8" s="2"/>
    </row>
    <row r="9" spans="2:16" x14ac:dyDescent="0.3">
      <c r="B9" s="2" t="s">
        <v>86</v>
      </c>
      <c r="C9" s="2" t="s">
        <v>90</v>
      </c>
      <c r="D9" s="7">
        <f t="shared" si="6"/>
        <v>1957.5</v>
      </c>
      <c r="E9" s="28">
        <f t="shared" si="0"/>
        <v>97.875</v>
      </c>
      <c r="F9" s="28">
        <f t="shared" si="1"/>
        <v>1859.625</v>
      </c>
      <c r="G9" s="15">
        <v>0.2</v>
      </c>
      <c r="H9" s="28">
        <f t="shared" si="2"/>
        <v>371.92500000000001</v>
      </c>
      <c r="I9" s="15">
        <v>1</v>
      </c>
      <c r="J9" s="15">
        <v>0</v>
      </c>
      <c r="K9" s="28">
        <f t="shared" si="3"/>
        <v>371.92500000000001</v>
      </c>
      <c r="L9" s="28">
        <f t="shared" si="4"/>
        <v>0</v>
      </c>
      <c r="M9" s="28">
        <f t="shared" si="5"/>
        <v>371.92500000000001</v>
      </c>
      <c r="N9" s="2"/>
      <c r="O9" s="2"/>
      <c r="P9" s="2"/>
    </row>
    <row r="10" spans="2:16" x14ac:dyDescent="0.3">
      <c r="B10" s="2" t="s">
        <v>86</v>
      </c>
      <c r="C10" s="2" t="s">
        <v>91</v>
      </c>
      <c r="D10" s="7">
        <f t="shared" si="6"/>
        <v>1957.5</v>
      </c>
      <c r="E10" s="28">
        <f t="shared" si="0"/>
        <v>97.875</v>
      </c>
      <c r="F10" s="28">
        <f t="shared" si="1"/>
        <v>1859.625</v>
      </c>
      <c r="G10" s="15">
        <v>0.2</v>
      </c>
      <c r="H10" s="28">
        <f t="shared" si="2"/>
        <v>371.92500000000001</v>
      </c>
      <c r="I10" s="15">
        <v>1</v>
      </c>
      <c r="J10" s="15">
        <v>0</v>
      </c>
      <c r="K10" s="28">
        <f t="shared" si="3"/>
        <v>371.92500000000001</v>
      </c>
      <c r="L10" s="28">
        <f t="shared" si="4"/>
        <v>0</v>
      </c>
      <c r="M10" s="28">
        <f t="shared" si="5"/>
        <v>371.92500000000001</v>
      </c>
      <c r="N10" s="2"/>
      <c r="O10" s="2"/>
      <c r="P10" s="2"/>
    </row>
    <row r="11" spans="2:16" x14ac:dyDescent="0.3">
      <c r="B11" s="2" t="s">
        <v>86</v>
      </c>
      <c r="C11" s="2" t="s">
        <v>92</v>
      </c>
      <c r="D11" s="7">
        <f t="shared" si="6"/>
        <v>1957.5</v>
      </c>
      <c r="E11" s="28">
        <f t="shared" si="0"/>
        <v>97.875</v>
      </c>
      <c r="F11" s="28">
        <f t="shared" si="1"/>
        <v>1859.625</v>
      </c>
      <c r="G11" s="15">
        <v>0.2</v>
      </c>
      <c r="H11" s="28">
        <f t="shared" si="2"/>
        <v>371.92500000000001</v>
      </c>
      <c r="I11" s="15">
        <v>1</v>
      </c>
      <c r="J11" s="15">
        <v>0</v>
      </c>
      <c r="K11" s="28">
        <f t="shared" si="3"/>
        <v>371.92500000000001</v>
      </c>
      <c r="L11" s="28">
        <f t="shared" si="4"/>
        <v>0</v>
      </c>
      <c r="M11" s="28">
        <f t="shared" si="5"/>
        <v>371.92500000000001</v>
      </c>
      <c r="N11" s="2"/>
      <c r="O11" s="2"/>
      <c r="P11" s="2"/>
    </row>
    <row r="12" spans="2:16" x14ac:dyDescent="0.3">
      <c r="B12" s="2" t="s">
        <v>86</v>
      </c>
      <c r="C12" s="2" t="s">
        <v>93</v>
      </c>
      <c r="D12" s="7">
        <f t="shared" si="6"/>
        <v>1957.5</v>
      </c>
      <c r="E12" s="28">
        <f t="shared" si="0"/>
        <v>97.875</v>
      </c>
      <c r="F12" s="28">
        <f t="shared" si="1"/>
        <v>1859.625</v>
      </c>
      <c r="G12" s="15">
        <v>0.3</v>
      </c>
      <c r="H12" s="28">
        <f t="shared" si="2"/>
        <v>557.88749999999993</v>
      </c>
      <c r="I12" s="15">
        <v>0.7</v>
      </c>
      <c r="J12" s="15">
        <v>0.3</v>
      </c>
      <c r="K12" s="28">
        <f t="shared" si="3"/>
        <v>390.52124999999995</v>
      </c>
      <c r="L12" s="28">
        <f t="shared" si="4"/>
        <v>167.36624999999998</v>
      </c>
      <c r="M12" s="28">
        <f t="shared" si="5"/>
        <v>557.88749999999993</v>
      </c>
      <c r="N12" s="2"/>
      <c r="O12" s="2"/>
      <c r="P12" s="2"/>
    </row>
    <row r="13" spans="2:16" x14ac:dyDescent="0.3">
      <c r="B13" s="2" t="s">
        <v>86</v>
      </c>
      <c r="C13" s="2" t="s">
        <v>94</v>
      </c>
      <c r="D13" s="7">
        <f t="shared" si="6"/>
        <v>1957.5</v>
      </c>
      <c r="E13" s="28">
        <f t="shared" si="0"/>
        <v>97.875</v>
      </c>
      <c r="F13" s="28">
        <f t="shared" si="1"/>
        <v>1859.625</v>
      </c>
      <c r="G13" s="15">
        <v>0.4</v>
      </c>
      <c r="H13" s="28">
        <f t="shared" si="2"/>
        <v>743.85</v>
      </c>
      <c r="I13" s="15">
        <v>0.5</v>
      </c>
      <c r="J13" s="15">
        <v>0.5</v>
      </c>
      <c r="K13" s="28">
        <f t="shared" si="3"/>
        <v>371.92500000000001</v>
      </c>
      <c r="L13" s="28">
        <f t="shared" si="4"/>
        <v>371.92500000000001</v>
      </c>
      <c r="M13" s="28">
        <f t="shared" si="5"/>
        <v>743.85</v>
      </c>
      <c r="N13" s="2"/>
      <c r="O13" s="2"/>
      <c r="P13" s="2"/>
    </row>
    <row r="14" spans="2:16" x14ac:dyDescent="0.3">
      <c r="B14" s="2"/>
      <c r="C14" s="2"/>
      <c r="D14" s="2"/>
      <c r="E14" s="2"/>
      <c r="F14" s="2"/>
      <c r="G14" s="2"/>
      <c r="H14" s="2"/>
      <c r="I14" s="15"/>
      <c r="J14" s="15"/>
      <c r="K14" s="2"/>
      <c r="L14" s="2"/>
      <c r="M14" s="2"/>
      <c r="N14" s="2"/>
      <c r="O14" s="2"/>
      <c r="P14" s="2"/>
    </row>
    <row r="15" spans="2:16" x14ac:dyDescent="0.3">
      <c r="B15" s="2"/>
      <c r="C15" s="2"/>
      <c r="D15" s="2"/>
      <c r="E15" s="2"/>
      <c r="F15" s="2"/>
      <c r="G15" s="2"/>
      <c r="H15" s="2"/>
      <c r="I15" s="15"/>
      <c r="J15" s="15"/>
      <c r="K15" s="2"/>
      <c r="L15" s="2"/>
      <c r="M15" s="2"/>
      <c r="N15" s="2"/>
      <c r="O15" s="2"/>
      <c r="P15" s="2"/>
    </row>
    <row r="16" spans="2:16" x14ac:dyDescent="0.3">
      <c r="B16" s="2"/>
      <c r="C16" s="2"/>
      <c r="D16" s="2"/>
      <c r="E16" s="2"/>
      <c r="F16" s="2"/>
      <c r="G16" s="2"/>
      <c r="H16" s="2"/>
      <c r="I16" s="15"/>
      <c r="J16" s="15"/>
      <c r="K16" s="2"/>
      <c r="L16" s="2"/>
      <c r="M16" s="2"/>
      <c r="N16" s="2"/>
      <c r="O16" s="2"/>
      <c r="P16" s="2"/>
    </row>
    <row r="17" spans="2:16" x14ac:dyDescent="0.3">
      <c r="B17" s="2"/>
      <c r="C17" s="2"/>
      <c r="D17" s="2"/>
      <c r="E17" s="2"/>
      <c r="F17" s="2"/>
      <c r="G17" s="2"/>
      <c r="H17" s="2"/>
      <c r="I17" s="15"/>
      <c r="J17" s="15"/>
      <c r="K17" s="2"/>
      <c r="L17" s="2"/>
      <c r="M17" s="2"/>
      <c r="N17" s="2"/>
      <c r="O17" s="2"/>
      <c r="P17" s="2"/>
    </row>
    <row r="18" spans="2:16" x14ac:dyDescent="0.3">
      <c r="B18" s="2"/>
      <c r="C18" s="2"/>
      <c r="D18" s="2"/>
      <c r="E18" s="2"/>
      <c r="F18" s="2"/>
      <c r="G18" s="2"/>
      <c r="H18" s="2"/>
      <c r="I18" s="15"/>
      <c r="J18" s="15"/>
      <c r="K18" s="2"/>
      <c r="L18" s="2"/>
      <c r="M18" s="2"/>
      <c r="N18" s="2"/>
      <c r="O18" s="2"/>
      <c r="P18" s="2"/>
    </row>
    <row r="19" spans="2:16" x14ac:dyDescent="0.3">
      <c r="B19" s="2"/>
      <c r="C19" s="2"/>
      <c r="D19" s="2"/>
      <c r="E19" s="2"/>
      <c r="F19" s="2"/>
      <c r="G19" s="2"/>
      <c r="H19" s="2"/>
      <c r="I19" s="15"/>
      <c r="J19" s="15"/>
      <c r="K19" s="2"/>
      <c r="L19" s="2"/>
      <c r="M19" s="2"/>
      <c r="N19" s="2"/>
      <c r="O19" s="2"/>
      <c r="P19" s="2"/>
    </row>
    <row r="20" spans="2:16" x14ac:dyDescent="0.3">
      <c r="B20" s="27" t="s">
        <v>105</v>
      </c>
      <c r="C20" s="27" t="str">
        <f>C4</f>
        <v>BHOPAL</v>
      </c>
      <c r="D20" s="29">
        <f>SUM(D6:D19)</f>
        <v>15660</v>
      </c>
      <c r="E20" s="29">
        <f>D20*0.05</f>
        <v>783</v>
      </c>
      <c r="F20" s="28">
        <f t="shared" ref="F20" si="7">D20-E20</f>
        <v>14877</v>
      </c>
      <c r="G20" s="29" t="s">
        <v>13</v>
      </c>
      <c r="H20" s="29">
        <f>SUM(H6:H13)</f>
        <v>3533.2874999999999</v>
      </c>
      <c r="I20" s="29" t="s">
        <v>13</v>
      </c>
      <c r="J20" s="29" t="s">
        <v>13</v>
      </c>
      <c r="K20" s="29">
        <f>SUM(K6:K19)</f>
        <v>2993.9962500000001</v>
      </c>
      <c r="L20" s="29">
        <f t="shared" ref="L20:M20" si="8">SUM(L6:L19)</f>
        <v>539.29124999999999</v>
      </c>
      <c r="M20" s="29">
        <f t="shared" si="8"/>
        <v>3533.2874999999999</v>
      </c>
      <c r="N20" s="29" t="s">
        <v>13</v>
      </c>
      <c r="O20" s="29" t="s">
        <v>13</v>
      </c>
      <c r="P20" s="29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20"/>
  <sheetViews>
    <sheetView workbookViewId="0">
      <selection activeCell="L20" sqref="L20"/>
    </sheetView>
  </sheetViews>
  <sheetFormatPr defaultRowHeight="14.4" x14ac:dyDescent="0.3"/>
  <cols>
    <col min="1" max="1" width="2.6640625" customWidth="1"/>
    <col min="2" max="2" width="18.88671875" customWidth="1"/>
    <col min="3" max="3" width="10.6640625" customWidth="1"/>
    <col min="4" max="5" width="12.6640625" customWidth="1"/>
    <col min="6" max="6" width="17.33203125" customWidth="1"/>
    <col min="7" max="16" width="12.6640625" customWidth="1"/>
  </cols>
  <sheetData>
    <row r="2" spans="2:16" ht="18" thickBot="1" x14ac:dyDescent="0.4">
      <c r="B2" s="1" t="s">
        <v>0</v>
      </c>
      <c r="C2" s="1"/>
      <c r="D2" s="1"/>
      <c r="E2" s="1" t="s">
        <v>85</v>
      </c>
      <c r="F2" s="1"/>
      <c r="G2" s="1" t="s">
        <v>107</v>
      </c>
      <c r="H2" s="1"/>
    </row>
    <row r="3" spans="2:16" ht="15" thickTop="1" x14ac:dyDescent="0.3"/>
    <row r="4" spans="2:16" ht="15" thickBot="1" x14ac:dyDescent="0.35">
      <c r="B4" s="20" t="s">
        <v>1</v>
      </c>
      <c r="C4" s="20" t="s">
        <v>75</v>
      </c>
      <c r="D4" s="20" t="s">
        <v>2</v>
      </c>
      <c r="E4" s="20">
        <v>1</v>
      </c>
      <c r="F4" s="20" t="s">
        <v>3</v>
      </c>
      <c r="G4" s="20">
        <v>5</v>
      </c>
      <c r="H4" s="20"/>
      <c r="I4" s="20" t="s">
        <v>4</v>
      </c>
      <c r="J4" s="21">
        <v>43101</v>
      </c>
      <c r="K4" s="20" t="s">
        <v>5</v>
      </c>
      <c r="L4" s="21">
        <v>43101</v>
      </c>
      <c r="M4" s="20" t="s">
        <v>42</v>
      </c>
      <c r="N4" s="21" t="s">
        <v>43</v>
      </c>
      <c r="O4" s="20" t="s">
        <v>13</v>
      </c>
      <c r="P4" s="21" t="s">
        <v>13</v>
      </c>
    </row>
    <row r="5" spans="2:16" ht="15" thickBot="1" x14ac:dyDescent="0.35">
      <c r="B5" s="23" t="s">
        <v>95</v>
      </c>
      <c r="C5" s="24"/>
      <c r="D5" s="25" t="s">
        <v>96</v>
      </c>
      <c r="E5" s="25" t="s">
        <v>112</v>
      </c>
      <c r="F5" s="25" t="s">
        <v>98</v>
      </c>
      <c r="G5" s="25" t="s">
        <v>109</v>
      </c>
      <c r="H5" s="25" t="s">
        <v>110</v>
      </c>
      <c r="I5" s="25" t="s">
        <v>111</v>
      </c>
      <c r="J5" s="25" t="str">
        <f>E5</f>
        <v>PROV E&amp;O 5%</v>
      </c>
      <c r="K5" s="25" t="s">
        <v>113</v>
      </c>
      <c r="L5" s="25" t="s">
        <v>114</v>
      </c>
      <c r="M5" s="25" t="s">
        <v>13</v>
      </c>
      <c r="N5" s="25"/>
      <c r="O5" s="25"/>
      <c r="P5" s="26"/>
    </row>
    <row r="6" spans="2:16" x14ac:dyDescent="0.3">
      <c r="B6" s="5" t="s">
        <v>25</v>
      </c>
      <c r="C6" s="22" t="s">
        <v>13</v>
      </c>
      <c r="D6" s="28">
        <v>20000</v>
      </c>
      <c r="E6" s="28">
        <f>D6*0.05</f>
        <v>1000</v>
      </c>
      <c r="F6" s="28">
        <f>D6-E6</f>
        <v>19000</v>
      </c>
      <c r="G6" s="31">
        <v>4275</v>
      </c>
      <c r="H6" s="28">
        <v>4000</v>
      </c>
      <c r="I6" s="32">
        <f>G6-H6</f>
        <v>275</v>
      </c>
      <c r="J6" s="32">
        <f>E6</f>
        <v>1000</v>
      </c>
      <c r="K6" s="28">
        <v>700</v>
      </c>
      <c r="L6" s="28">
        <f>J6-K6</f>
        <v>300</v>
      </c>
      <c r="M6" s="28" t="s">
        <v>13</v>
      </c>
      <c r="N6" s="22"/>
      <c r="O6" s="22"/>
      <c r="P6" s="22"/>
    </row>
    <row r="7" spans="2:16" x14ac:dyDescent="0.3">
      <c r="B7" s="5" t="s">
        <v>45</v>
      </c>
      <c r="C7" s="2" t="s">
        <v>13</v>
      </c>
      <c r="D7" s="7">
        <f>D6</f>
        <v>20000</v>
      </c>
      <c r="E7" s="28">
        <f t="shared" ref="E7:E13" si="0">D7*0.05</f>
        <v>1000</v>
      </c>
      <c r="F7" s="28">
        <f t="shared" ref="F7:F13" si="1">D7-E7</f>
        <v>19000</v>
      </c>
      <c r="G7" s="31">
        <v>4275</v>
      </c>
      <c r="H7" s="28">
        <v>4000</v>
      </c>
      <c r="I7" s="32">
        <f t="shared" ref="I7:I19" si="2">G7-H7</f>
        <v>275</v>
      </c>
      <c r="J7" s="32">
        <f t="shared" ref="J7:J16" si="3">E7</f>
        <v>1000</v>
      </c>
      <c r="K7" s="28">
        <f>K6+100</f>
        <v>800</v>
      </c>
      <c r="L7" s="28">
        <f t="shared" ref="L7:L13" si="4">J7-K7</f>
        <v>200</v>
      </c>
      <c r="M7" s="28" t="s">
        <v>13</v>
      </c>
      <c r="N7" s="2"/>
      <c r="O7" s="2"/>
      <c r="P7" s="2"/>
    </row>
    <row r="8" spans="2:16" x14ac:dyDescent="0.3">
      <c r="B8" s="5" t="s">
        <v>76</v>
      </c>
      <c r="C8" s="2" t="s">
        <v>13</v>
      </c>
      <c r="D8" s="7">
        <f t="shared" ref="D8:D13" si="5">D7</f>
        <v>20000</v>
      </c>
      <c r="E8" s="28">
        <f t="shared" si="0"/>
        <v>1000</v>
      </c>
      <c r="F8" s="28">
        <f t="shared" si="1"/>
        <v>19000</v>
      </c>
      <c r="G8" s="31">
        <v>4275</v>
      </c>
      <c r="H8" s="28">
        <v>4000</v>
      </c>
      <c r="I8" s="32">
        <f t="shared" si="2"/>
        <v>275</v>
      </c>
      <c r="J8" s="32">
        <f t="shared" si="3"/>
        <v>1000</v>
      </c>
      <c r="K8" s="28">
        <f t="shared" ref="K8:K13" si="6">K7+100</f>
        <v>900</v>
      </c>
      <c r="L8" s="28">
        <f t="shared" si="4"/>
        <v>100</v>
      </c>
      <c r="M8" s="28" t="s">
        <v>13</v>
      </c>
      <c r="N8" s="2"/>
      <c r="O8" s="2"/>
      <c r="P8" s="2"/>
    </row>
    <row r="9" spans="2:16" x14ac:dyDescent="0.3">
      <c r="B9" s="5" t="s">
        <v>77</v>
      </c>
      <c r="C9" s="2" t="s">
        <v>13</v>
      </c>
      <c r="D9" s="7">
        <f t="shared" si="5"/>
        <v>20000</v>
      </c>
      <c r="E9" s="28">
        <f t="shared" si="0"/>
        <v>1000</v>
      </c>
      <c r="F9" s="28">
        <f t="shared" si="1"/>
        <v>19000</v>
      </c>
      <c r="G9" s="31">
        <v>4275</v>
      </c>
      <c r="H9" s="28">
        <v>4000</v>
      </c>
      <c r="I9" s="32">
        <f t="shared" si="2"/>
        <v>275</v>
      </c>
      <c r="J9" s="32">
        <f t="shared" si="3"/>
        <v>1000</v>
      </c>
      <c r="K9" s="28">
        <f t="shared" si="6"/>
        <v>1000</v>
      </c>
      <c r="L9" s="28">
        <f t="shared" si="4"/>
        <v>0</v>
      </c>
      <c r="M9" s="28" t="s">
        <v>13</v>
      </c>
      <c r="N9" s="2"/>
      <c r="O9" s="2"/>
      <c r="P9" s="2"/>
    </row>
    <row r="10" spans="2:16" x14ac:dyDescent="0.3">
      <c r="B10" s="5" t="s">
        <v>78</v>
      </c>
      <c r="C10" s="2" t="s">
        <v>13</v>
      </c>
      <c r="D10" s="7">
        <f t="shared" si="5"/>
        <v>20000</v>
      </c>
      <c r="E10" s="28">
        <f t="shared" si="0"/>
        <v>1000</v>
      </c>
      <c r="F10" s="28">
        <f t="shared" si="1"/>
        <v>19000</v>
      </c>
      <c r="G10" s="31">
        <v>4275</v>
      </c>
      <c r="H10" s="28">
        <v>4000</v>
      </c>
      <c r="I10" s="32">
        <f t="shared" si="2"/>
        <v>275</v>
      </c>
      <c r="J10" s="32">
        <f t="shared" si="3"/>
        <v>1000</v>
      </c>
      <c r="K10" s="28">
        <f t="shared" si="6"/>
        <v>1100</v>
      </c>
      <c r="L10" s="28">
        <f t="shared" si="4"/>
        <v>-100</v>
      </c>
      <c r="M10" s="28" t="s">
        <v>13</v>
      </c>
      <c r="N10" s="2"/>
      <c r="O10" s="2"/>
      <c r="P10" s="2"/>
    </row>
    <row r="11" spans="2:16" x14ac:dyDescent="0.3">
      <c r="B11" s="5" t="s">
        <v>79</v>
      </c>
      <c r="C11" s="2" t="s">
        <v>13</v>
      </c>
      <c r="D11" s="7">
        <f t="shared" si="5"/>
        <v>20000</v>
      </c>
      <c r="E11" s="28">
        <f t="shared" si="0"/>
        <v>1000</v>
      </c>
      <c r="F11" s="28">
        <f t="shared" si="1"/>
        <v>19000</v>
      </c>
      <c r="G11" s="31">
        <v>4275</v>
      </c>
      <c r="H11" s="28">
        <v>4000</v>
      </c>
      <c r="I11" s="32">
        <f t="shared" si="2"/>
        <v>275</v>
      </c>
      <c r="J11" s="32">
        <f t="shared" si="3"/>
        <v>1000</v>
      </c>
      <c r="K11" s="28">
        <f t="shared" si="6"/>
        <v>1200</v>
      </c>
      <c r="L11" s="28">
        <f t="shared" si="4"/>
        <v>-200</v>
      </c>
      <c r="M11" s="28" t="s">
        <v>13</v>
      </c>
      <c r="N11" s="2"/>
      <c r="O11" s="2"/>
      <c r="P11" s="2"/>
    </row>
    <row r="12" spans="2:16" x14ac:dyDescent="0.3">
      <c r="B12" s="5" t="s">
        <v>80</v>
      </c>
      <c r="C12" s="2" t="s">
        <v>13</v>
      </c>
      <c r="D12" s="7">
        <f t="shared" si="5"/>
        <v>20000</v>
      </c>
      <c r="E12" s="28">
        <f t="shared" si="0"/>
        <v>1000</v>
      </c>
      <c r="F12" s="28">
        <f t="shared" si="1"/>
        <v>19000</v>
      </c>
      <c r="G12" s="31">
        <v>4275</v>
      </c>
      <c r="H12" s="28">
        <v>4000</v>
      </c>
      <c r="I12" s="32">
        <f t="shared" si="2"/>
        <v>275</v>
      </c>
      <c r="J12" s="32">
        <f t="shared" si="3"/>
        <v>1000</v>
      </c>
      <c r="K12" s="28">
        <f t="shared" si="6"/>
        <v>1300</v>
      </c>
      <c r="L12" s="28">
        <f t="shared" si="4"/>
        <v>-300</v>
      </c>
      <c r="M12" s="28" t="s">
        <v>13</v>
      </c>
      <c r="N12" s="2"/>
      <c r="O12" s="2"/>
      <c r="P12" s="2"/>
    </row>
    <row r="13" spans="2:16" x14ac:dyDescent="0.3">
      <c r="B13" s="5" t="s">
        <v>81</v>
      </c>
      <c r="C13" s="2" t="s">
        <v>108</v>
      </c>
      <c r="D13" s="7">
        <f t="shared" si="5"/>
        <v>20000</v>
      </c>
      <c r="E13" s="28">
        <f t="shared" si="0"/>
        <v>1000</v>
      </c>
      <c r="F13" s="28">
        <f t="shared" si="1"/>
        <v>19000</v>
      </c>
      <c r="G13" s="31">
        <v>4275</v>
      </c>
      <c r="H13" s="28">
        <v>4000</v>
      </c>
      <c r="I13" s="32">
        <f t="shared" si="2"/>
        <v>275</v>
      </c>
      <c r="J13" s="32">
        <f t="shared" si="3"/>
        <v>1000</v>
      </c>
      <c r="K13" s="28">
        <f t="shared" si="6"/>
        <v>1400</v>
      </c>
      <c r="L13" s="28">
        <f t="shared" si="4"/>
        <v>-400</v>
      </c>
      <c r="M13" s="28" t="s">
        <v>13</v>
      </c>
      <c r="N13" s="2"/>
      <c r="O13" s="2"/>
      <c r="P13" s="2"/>
    </row>
    <row r="14" spans="2:16" x14ac:dyDescent="0.3">
      <c r="B14" s="5" t="s">
        <v>82</v>
      </c>
      <c r="C14" s="2"/>
      <c r="D14" s="2"/>
      <c r="E14" s="2"/>
      <c r="F14" s="2"/>
      <c r="G14" s="2" t="s">
        <v>13</v>
      </c>
      <c r="H14" s="2"/>
      <c r="I14" s="32">
        <v>0</v>
      </c>
      <c r="J14" s="32">
        <f t="shared" si="3"/>
        <v>0</v>
      </c>
      <c r="K14" s="2"/>
      <c r="L14" s="2"/>
      <c r="M14" s="2" t="s">
        <v>13</v>
      </c>
      <c r="N14" s="2"/>
      <c r="O14" s="2"/>
      <c r="P14" s="2"/>
    </row>
    <row r="15" spans="2:16" x14ac:dyDescent="0.3">
      <c r="B15" s="5" t="s">
        <v>83</v>
      </c>
      <c r="C15" s="2"/>
      <c r="D15" s="2"/>
      <c r="E15" s="2"/>
      <c r="F15" s="2"/>
      <c r="G15" s="2"/>
      <c r="H15" s="2"/>
      <c r="I15" s="32">
        <f t="shared" si="2"/>
        <v>0</v>
      </c>
      <c r="J15" s="32">
        <f t="shared" si="3"/>
        <v>0</v>
      </c>
      <c r="K15" s="2"/>
      <c r="L15" s="2"/>
      <c r="M15" s="2"/>
      <c r="N15" s="2"/>
      <c r="O15" s="2"/>
      <c r="P15" s="2"/>
    </row>
    <row r="16" spans="2:16" x14ac:dyDescent="0.3">
      <c r="B16" s="5" t="s">
        <v>84</v>
      </c>
      <c r="C16" s="2"/>
      <c r="D16" s="2"/>
      <c r="E16" s="2"/>
      <c r="F16" s="2"/>
      <c r="G16" s="2"/>
      <c r="H16" s="2"/>
      <c r="I16" s="32">
        <f t="shared" si="2"/>
        <v>0</v>
      </c>
      <c r="J16" s="32">
        <f t="shared" si="3"/>
        <v>0</v>
      </c>
      <c r="K16" s="2"/>
      <c r="L16" s="2"/>
      <c r="M16" s="2"/>
      <c r="N16" s="2"/>
      <c r="O16" s="2"/>
      <c r="P16" s="2"/>
    </row>
    <row r="17" spans="2:16" x14ac:dyDescent="0.3">
      <c r="B17" s="2"/>
      <c r="C17" s="2"/>
      <c r="D17" s="2"/>
      <c r="E17" s="2"/>
      <c r="F17" s="2"/>
      <c r="G17" s="2"/>
      <c r="H17" s="2"/>
      <c r="I17" s="32">
        <f t="shared" si="2"/>
        <v>0</v>
      </c>
      <c r="J17" s="15"/>
      <c r="K17" s="2"/>
      <c r="L17" s="2"/>
      <c r="M17" s="2"/>
      <c r="N17" s="2"/>
      <c r="O17" s="2"/>
      <c r="P17" s="2"/>
    </row>
    <row r="18" spans="2:16" x14ac:dyDescent="0.3">
      <c r="B18" s="2"/>
      <c r="C18" s="2"/>
      <c r="D18" s="2"/>
      <c r="E18" s="2"/>
      <c r="F18" s="2"/>
      <c r="G18" s="2"/>
      <c r="H18" s="2"/>
      <c r="I18" s="32">
        <f t="shared" si="2"/>
        <v>0</v>
      </c>
      <c r="J18" s="15"/>
      <c r="K18" s="2"/>
      <c r="L18" s="2"/>
      <c r="M18" s="2"/>
      <c r="N18" s="2"/>
      <c r="O18" s="2"/>
      <c r="P18" s="2"/>
    </row>
    <row r="19" spans="2:16" x14ac:dyDescent="0.3">
      <c r="B19" s="2"/>
      <c r="C19" s="2"/>
      <c r="D19" s="2"/>
      <c r="E19" s="2"/>
      <c r="F19" s="2"/>
      <c r="G19" s="2"/>
      <c r="H19" s="2"/>
      <c r="I19" s="32">
        <f t="shared" si="2"/>
        <v>0</v>
      </c>
      <c r="J19" s="15"/>
      <c r="K19" s="2"/>
      <c r="L19" s="2"/>
      <c r="M19" s="2"/>
      <c r="N19" s="2"/>
      <c r="O19" s="2"/>
      <c r="P19" s="2"/>
    </row>
    <row r="20" spans="2:16" x14ac:dyDescent="0.3">
      <c r="B20" s="27" t="s">
        <v>105</v>
      </c>
      <c r="C20" s="27" t="str">
        <f>C4</f>
        <v>ALL</v>
      </c>
      <c r="D20" s="29">
        <f>SUM(D6:D19)</f>
        <v>160000</v>
      </c>
      <c r="E20" s="29">
        <f>D20*0.05</f>
        <v>8000</v>
      </c>
      <c r="F20" s="28">
        <f>SUM(F6:F19)</f>
        <v>152000</v>
      </c>
      <c r="G20" s="28">
        <f t="shared" ref="G20:I20" si="7">SUM(G6:G19)</f>
        <v>34200</v>
      </c>
      <c r="H20" s="28">
        <f t="shared" si="7"/>
        <v>32000</v>
      </c>
      <c r="I20" s="28">
        <f t="shared" si="7"/>
        <v>2200</v>
      </c>
      <c r="J20" s="28">
        <f t="shared" ref="J20" si="8">SUM(J6:J19)</f>
        <v>8000</v>
      </c>
      <c r="K20" s="28">
        <f t="shared" ref="K20" si="9">SUM(K6:K19)</f>
        <v>8400</v>
      </c>
      <c r="L20" s="28">
        <f t="shared" ref="L20" si="10">SUM(L6:L19)</f>
        <v>-400</v>
      </c>
      <c r="M20" s="28">
        <f t="shared" ref="M20" si="11">SUM(M6:M19)</f>
        <v>0</v>
      </c>
      <c r="N20" s="29" t="s">
        <v>13</v>
      </c>
      <c r="O20" s="29" t="s">
        <v>13</v>
      </c>
      <c r="P20" s="2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DETAILED-SP</vt:lpstr>
      <vt:lpstr>IMP-FIELDS-CODES</vt:lpstr>
      <vt:lpstr>INVOICEAND EXPECTED COSTS</vt:lpstr>
      <vt:lpstr>SUMMARIED-TOTAL</vt:lpstr>
      <vt:lpstr>SP-COMM</vt:lpstr>
      <vt:lpstr>SP-COMM-SUMMARY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Pawane</dc:creator>
  <cp:lastModifiedBy>Fakir Mohammed</cp:lastModifiedBy>
  <dcterms:created xsi:type="dcterms:W3CDTF">2017-12-01T16:16:33Z</dcterms:created>
  <dcterms:modified xsi:type="dcterms:W3CDTF">2018-01-13T03:34:01Z</dcterms:modified>
</cp:coreProperties>
</file>